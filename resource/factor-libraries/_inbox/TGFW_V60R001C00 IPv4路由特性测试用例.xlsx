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4_NGFW\01_project\testcase_tool\"/>
    </mc:Choice>
  </mc:AlternateContent>
  <bookViews>
    <workbookView xWindow="-100" yWindow="-100" windowWidth="17380" windowHeight="13100" tabRatio="864" activeTab="9"/>
  </bookViews>
  <sheets>
    <sheet name="首页" sheetId="1" r:id="rId1"/>
    <sheet name="测试点分析" sheetId="2" r:id="rId2"/>
    <sheet name="测试组网设计" sheetId="3" r:id="rId3"/>
    <sheet name="路由配置" sheetId="4" r:id="rId4"/>
    <sheet name="静态路由" sheetId="5" r:id="rId5"/>
    <sheet name="直连路由" sheetId="6" r:id="rId6"/>
    <sheet name="路由转发" sheetId="7" r:id="rId7"/>
    <sheet name="单臂路由" sheetId="8" r:id="rId8"/>
    <sheet name="等价路由" sheetId="9" r:id="rId9"/>
    <sheet name="用例全集" sheetId="10" r:id="rId10"/>
    <sheet name="附录1" sheetId="11" r:id="rId11"/>
  </sheets>
  <definedNames>
    <definedName name="_xlnm._FilterDatabase" localSheetId="9" hidden="1">用例全集!$A$1:$AV$122</definedName>
  </definedNames>
  <calcPr calcId="162913"/>
</workbook>
</file>

<file path=xl/calcChain.xml><?xml version="1.0" encoding="utf-8"?>
<calcChain xmlns="http://schemas.openxmlformats.org/spreadsheetml/2006/main">
  <c r="B15" i="11" l="1"/>
  <c r="B14" i="11"/>
  <c r="B13" i="11"/>
  <c r="B12" i="11"/>
  <c r="B11" i="11"/>
  <c r="E10" i="11"/>
  <c r="B10" i="11"/>
  <c r="E9" i="11"/>
  <c r="B6" i="11" s="1"/>
  <c r="B9" i="11"/>
  <c r="B16" i="11" l="1"/>
  <c r="C10" i="11"/>
  <c r="C12" i="11"/>
  <c r="C15" i="11"/>
  <c r="C11" i="11"/>
  <c r="C13" i="11"/>
  <c r="C14" i="11"/>
  <c r="C9" i="11"/>
  <c r="C4" i="11" l="1"/>
  <c r="C5" i="11"/>
  <c r="C3" i="11"/>
</calcChain>
</file>

<file path=xl/comments1.xml><?xml version="1.0" encoding="utf-8"?>
<comments xmlns="http://schemas.openxmlformats.org/spreadsheetml/2006/main">
  <authors>
    <author>TGFW</author>
  </authors>
  <commentList>
    <comment ref="F91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TGFW:
由接口测试，刷新耦合矩阵</t>
        </r>
      </text>
    </comment>
  </commentList>
</comments>
</file>

<file path=xl/sharedStrings.xml><?xml version="1.0" encoding="utf-8"?>
<sst xmlns="http://schemas.openxmlformats.org/spreadsheetml/2006/main" count="3363" uniqueCount="1103">
  <si>
    <t>NGFW V60R001C00 
IPv4路由特性测试用例</t>
  </si>
  <si>
    <t>拟定</t>
  </si>
  <si>
    <t>赵海波</t>
  </si>
  <si>
    <t>日期</t>
  </si>
  <si>
    <t>审核</t>
  </si>
  <si>
    <t>XXXX/XX/XX</t>
  </si>
  <si>
    <t>批准</t>
  </si>
  <si>
    <t>修订记录</t>
  </si>
  <si>
    <t>修订版本</t>
  </si>
  <si>
    <t>修改记录</t>
  </si>
  <si>
    <t>修改人</t>
  </si>
  <si>
    <t>V1.0</t>
  </si>
  <si>
    <t>初稿输出</t>
  </si>
  <si>
    <t>四级目录</t>
  </si>
  <si>
    <t>五级目录</t>
  </si>
  <si>
    <t>测试点</t>
  </si>
  <si>
    <t>测试设计方法</t>
  </si>
  <si>
    <t>适用场景</t>
  </si>
  <si>
    <t>用例规模（个）</t>
  </si>
  <si>
    <t>测试数据</t>
  </si>
  <si>
    <t>配置管理</t>
  </si>
  <si>
    <t>路由配置</t>
  </si>
  <si>
    <t>路由维护</t>
  </si>
  <si>
    <t>静态路由</t>
  </si>
  <si>
    <t>配置静态路由测试</t>
  </si>
  <si>
    <t>等价类划分&amp;数据组合</t>
  </si>
  <si>
    <t>目的IP地址,掩码长度，权重，优先级，目的IP和下一跳重复</t>
  </si>
  <si>
    <t>路由表维护功能测试</t>
  </si>
  <si>
    <t>流程图</t>
  </si>
  <si>
    <t>出接口IP地址计算静态路由生效和失效,出接口状态计算静态路由生效与失效，默认路由的生效与失效，优先级最高的静态路由生效优先级低的路由不生效，静态路由的出接口为物理口、聚合口、BVI口、L3子接口、Tunnel口,静态路由的下一跳与接口默认网关相同</t>
  </si>
  <si>
    <t>容量测试</t>
  </si>
  <si>
    <t>直接分析</t>
  </si>
  <si>
    <t>最大数量的等价路由,等价路由最大数量的链路数量，最静态路由数量，最大直连路由数量，达到最大数量后的增删测试</t>
  </si>
  <si>
    <t>HA配置同步</t>
  </si>
  <si>
    <t>静态路由配置不同步,主用设备和备用设备都可以配置静态路由</t>
  </si>
  <si>
    <t>配置导入导出</t>
  </si>
  <si>
    <t>配置导入、导出、配置校验、增量导入</t>
  </si>
  <si>
    <t>升级测试</t>
  </si>
  <si>
    <t>物理接口、聚合口、L3子接口、BVI接口和Tunnel口的静态路由均能恢复</t>
  </si>
  <si>
    <t>Oplog测试</t>
  </si>
  <si>
    <t>静态路由增加、删除、修改能够记录Oplog，记录的时间、操作者、对象和参数正确</t>
  </si>
  <si>
    <t>静态路由性能测试</t>
  </si>
  <si>
    <t>配置路由响应时间</t>
  </si>
  <si>
    <t>静态路由默认值测试</t>
  </si>
  <si>
    <t>优先级和权重</t>
  </si>
  <si>
    <t>配置存库测试</t>
  </si>
  <si>
    <t>修改配置后快速切换</t>
  </si>
  <si>
    <t>直连路由</t>
  </si>
  <si>
    <t>直连路由的维护</t>
  </si>
  <si>
    <t>物理接口，聚合口、L3子接口、BVI接口、Tunnel口，直连路由根据接口状态计算生效与失效，直连路由的开销</t>
  </si>
  <si>
    <t>升级后所有接口能生成直连路由</t>
  </si>
  <si>
    <t>最大数量的直连路由，达到最大数量后的增删测试</t>
  </si>
  <si>
    <t>反复操作</t>
  </si>
  <si>
    <t>反复修改接口IP地址</t>
  </si>
  <si>
    <t>业务转发</t>
  </si>
  <si>
    <t>路由转发</t>
  </si>
  <si>
    <t>出接口为物理接口，聚合口、L3子接口、BVI接口、Tunnel口，静态路由（主机路由，网段路由）、直连路由、默认路由转发、DMAC与接口IP地址相同,DMAC与接口IP地址不同，掩码长度最长匹配，路由转发不匹配优先级</t>
  </si>
  <si>
    <t>异常报文检测</t>
  </si>
  <si>
    <t>SIP为ABC类地址中的广播地址，SIP为D类，SIP为E类，SIP为全F，SIP为127段，SIP为全0</t>
  </si>
  <si>
    <t>带VLAN的报文路由转发</t>
  </si>
  <si>
    <t>不带VLAN，带VLAN，带两层VLAN</t>
  </si>
  <si>
    <t>路由转发时修改配置</t>
  </si>
  <si>
    <t>路由增删改查,修改接口IP</t>
  </si>
  <si>
    <t>浮动路由测试</t>
  </si>
  <si>
    <t>高低优先级路由之间切换、静态路由和直连路由间切换、静态路由和默认路由之间的切换</t>
  </si>
  <si>
    <t>路由转发的可靠性</t>
  </si>
  <si>
    <t>接口UP、DOWN、掉电。命令复位，反复增删路由，反复修改下一跳，反复启用停用，反复设备掉电，反复设备命令复位</t>
  </si>
  <si>
    <t>路由转发业务互不影响</t>
  </si>
  <si>
    <t>IPv6业务</t>
  </si>
  <si>
    <t>ARP可靠性测试</t>
  </si>
  <si>
    <t>ARP不存在到存在，ARP存在到不存在，大量的ARP miss</t>
  </si>
  <si>
    <t>高可用场景的路由转发</t>
  </si>
  <si>
    <t>HA主备切换和回切后路由转发正常</t>
  </si>
  <si>
    <t>升级后业务正常</t>
  </si>
  <si>
    <t>单臂路由</t>
  </si>
  <si>
    <t>不同接口单臂路由转发</t>
  </si>
  <si>
    <t>聚合口与L3子接口、物理接口与L3子接口，L3子接口与L3子接口</t>
  </si>
  <si>
    <t>相同接口的单臂路由转发</t>
  </si>
  <si>
    <t>物理接口、聚合口、L3子接口、BVI接口、Tunnel口</t>
  </si>
  <si>
    <t>单臂路由可靠性</t>
  </si>
  <si>
    <t>单臂路由转发时增删静态路由</t>
  </si>
  <si>
    <t>等价路由</t>
  </si>
  <si>
    <t>等价路由维护</t>
  </si>
  <si>
    <t>静态路由形成等价路由，默认路由形成等价路由，高优先级路由生效时等价路由失效，高优先级路由失效时等价路由生效，默认路由接口类型（物理接口、聚合口、L3子接口、BVI接口、Tunnel口）</t>
  </si>
  <si>
    <t>等价路由业务分担测试</t>
  </si>
  <si>
    <t>分担算法测试，修改权重</t>
  </si>
  <si>
    <t>等价路由链路切换</t>
  </si>
  <si>
    <t>业务切换，新增链路可以分担业务，新增链路老业务不受影响，减少链路，删除非业务转发链路业务不受影响</t>
  </si>
  <si>
    <t>业务切换</t>
  </si>
  <si>
    <t>等价路由和静态路由切换，修改优先级</t>
  </si>
  <si>
    <t>等价路由可靠性</t>
  </si>
  <si>
    <t>反复链路振荡10次以上,反复修改链路权重10次以上，反复进行设备掉电10次，反复进行设备命令复位10次以上，</t>
  </si>
  <si>
    <t>等价路由性能测试</t>
  </si>
  <si>
    <t>等价路由链路切换时间</t>
  </si>
  <si>
    <t>名称</t>
  </si>
  <si>
    <t>NE1_link0</t>
  </si>
  <si>
    <t>组网图</t>
  </si>
  <si>
    <t>NE1_ins</t>
  </si>
  <si>
    <t>NE1_link4_ins</t>
  </si>
  <si>
    <t>NE4_link5_ins</t>
  </si>
  <si>
    <t>测试点汇总</t>
  </si>
  <si>
    <t>新增静态路由测试</t>
  </si>
  <si>
    <t>静态路由唯一性测试</t>
  </si>
  <si>
    <t>目的网段和下一跳相同</t>
  </si>
  <si>
    <t>修改静态路由测试</t>
  </si>
  <si>
    <t>目的IP，掩码长度，权重，优先级，路由ID不存在</t>
  </si>
  <si>
    <t>删除静态路由测试</t>
  </si>
  <si>
    <t>单条删除，批量删除，路由ID不存在</t>
  </si>
  <si>
    <t>添加静态路由测试</t>
  </si>
  <si>
    <t>【设计方法】等价类划分&amp;数据组合</t>
  </si>
  <si>
    <t>步骤1:等价类划分</t>
  </si>
  <si>
    <t>等价类划分</t>
  </si>
  <si>
    <t>有效类</t>
  </si>
  <si>
    <t>无效类</t>
  </si>
  <si>
    <t>选取策略</t>
  </si>
  <si>
    <t>选取结果</t>
  </si>
  <si>
    <t>目的网络</t>
  </si>
  <si>
    <t>0.0.0.0/0</t>
  </si>
  <si>
    <t>224.0.0.0/[3-32]</t>
  </si>
  <si>
    <t>数据名称和分类独立</t>
  </si>
  <si>
    <t>数据名称=目的网络;有效值=0.0.0.0/0,223.255.255.255/32,[1-126].[0-255].[0-255].[0-255]/[1-31],[128-223).[0-255].[0-255].[0-255]/[1-31],[224-255].[0-255].[0-255].[0-255]/[1-2],127.[0-255].[0-255].[0-255]/[1-7];无效值=224.0.0.0/[3-32],127.[0-255].[0-255].[0-255]/[8-32],空,超长字符串,3段点分十进制,5段点分十进制,点分号错误,掩码分隔符错误,16进制IP</t>
  </si>
  <si>
    <t>223.255.255.255/32</t>
  </si>
  <si>
    <t>127.[0-255].[0-255].[0-255]/[8-32]</t>
  </si>
  <si>
    <t>[1-126].[0-255].[0-255].[0-255]/[1-31]</t>
  </si>
  <si>
    <t>空</t>
  </si>
  <si>
    <t>[128-223).[0-255].[0-255].[0-255]/[1-31]</t>
  </si>
  <si>
    <t>超长字符串</t>
  </si>
  <si>
    <t>[224-255].[0-255].[0-255].[0-255]/[1-2]</t>
  </si>
  <si>
    <t>3段点分十进制</t>
  </si>
  <si>
    <t>127.[0-255].[0-255].[0-255]/[1-7]</t>
  </si>
  <si>
    <t>5段点分十进制</t>
  </si>
  <si>
    <t>点分号错误</t>
  </si>
  <si>
    <t>掩码分隔符错误</t>
  </si>
  <si>
    <t>16进制IP</t>
  </si>
  <si>
    <t>出接口</t>
  </si>
  <si>
    <t>暂时不分析</t>
  </si>
  <si>
    <t>数据名称=出接口;有效值=暂时不分析</t>
  </si>
  <si>
    <t>下一跳</t>
  </si>
  <si>
    <t>1.0.0.0</t>
  </si>
  <si>
    <t>0.[0-255].[0-255].[0-255]</t>
  </si>
  <si>
    <t>数据名称=下一跳;有效值=1.0.0.0,223.255.255.255,(1-126].[0-255].[0-255].[0-255],[128-223].[0-255].[0-255].[0-255];无效值=0.[0-255].[0-255].[0-255],224.[0-255].[0-255].[0-255],空,超长字符串,3段点分十进制,5段点分十进制,点分号非".",127.[0-255].[0-255].[0-255],任意接口的IP</t>
  </si>
  <si>
    <t>223.255.255.255</t>
  </si>
  <si>
    <t>224.[0-255].[0-255].[0-255]</t>
  </si>
  <si>
    <t>(1-126].[0-255].[0-255].[0-255]</t>
  </si>
  <si>
    <t>[128-223].[0-255].[0-255].[0-255]</t>
  </si>
  <si>
    <t>点分号非"."</t>
  </si>
  <si>
    <t>127.[0-255].[0-255].[0-255]</t>
  </si>
  <si>
    <t>任意接口的IP</t>
  </si>
  <si>
    <t>权重</t>
  </si>
  <si>
    <t>数据名称=权重;有效值=1.0,(0-255)间任意值,255.0,空;无效值=0.0,256.0,字符串,超长字符串</t>
  </si>
  <si>
    <t>(0-255)间任意值</t>
  </si>
  <si>
    <t>字符串</t>
  </si>
  <si>
    <t>优先级</t>
  </si>
  <si>
    <t>数据名称=优先级;有效值=1.0,(1-255)间任意值,255.0,空;无效值=0.0,256.0,字符串,超长字符串</t>
  </si>
  <si>
    <t>(1-255)间任意值</t>
  </si>
  <si>
    <t>步骤2:数据组合</t>
  </si>
  <si>
    <t>数据组合</t>
  </si>
  <si>
    <t>数据取值</t>
  </si>
  <si>
    <t>组合数据分析</t>
  </si>
  <si>
    <t>约束条件和组合策略</t>
  </si>
  <si>
    <t>组合结果</t>
  </si>
  <si>
    <t>所有数据不组合</t>
  </si>
  <si>
    <t>步骤3:逻辑用例设计</t>
  </si>
  <si>
    <t>逻辑用例编号</t>
  </si>
  <si>
    <t>测试用例描述</t>
  </si>
  <si>
    <t>覆盖的测试数据</t>
  </si>
  <si>
    <t>测试数据选取结果</t>
  </si>
  <si>
    <t>ipv4.static.route.add</t>
  </si>
  <si>
    <t>验证添加静态路由时配置${测试对象}有效值和无效值测试</t>
  </si>
  <si>
    <t>目的网络、下一跳、权重、优先级</t>
  </si>
  <si>
    <t>数据名称=目的网络;有效值=0.0.0.0/0,223.255.255.255/32,[1-126].[0-255].[0-255].[0-255]/[1-31],[128-223).[0-255].[0-255].[0-255]/[1-31],[224-255].[0-255].[0-255].[0-255]/[1-2],127.[0-255].[0-255].[0-255]/[1-7];无效值=224.0.0.0/[3-32],127.[0-255].[0-255].[0-255]/[8-32],空,超长字符串,3段点分十进制,5段点分十进制,点分号错误,掩码分隔符错误,16进制IP
数据名称=下一跳;有效值=1.0.0.0,223.255.255.255,(1-126].[0-255].[0-255].[0-255],[128-223].[0-255].[0-255].[0-255];无效值=0.[0-255].[0-255].[0-255],224.[0-255].[0-255].[0-255],空,超长字符串,3段点分十进制,5段点分十进制,点分号非".",127.[0-255].[0-255].[0-255],任意接口的IP
数据名称=权重;有效值=1.0,(0-255)间任意值,255.0,空;无效值=0.0,256.0,字符串,超长字符串
数据名称=优先级;有效值=1.0,(1-255)间任意值,255.0,空;无效值=0.0,256.0,字符串,超长字符串</t>
  </si>
  <si>
    <t>步骤4:物理用例设计</t>
  </si>
  <si>
    <t>用例标题</t>
  </si>
  <si>
    <t>预置条件</t>
  </si>
  <si>
    <t>测试步骤</t>
  </si>
  <si>
    <t>预期结果</t>
  </si>
  <si>
    <t>验证添加静态路由时配置${数据名称}有效值和无效值测试</t>
  </si>
  <si>
    <t>网元正常启动</t>
  </si>
  <si>
    <t>1、使用/api/v1/route接口添加静态路由时，配置${数据名称}为$[有效值]，其他参数为任意有效值,查询静态路由【check1】
2、添加静态路由时，配置${数据名称}为$[无效值]，其他参数为任意有效值,查询静态路由【check2】</t>
  </si>
  <si>
    <t>【check1】配置成功，使用restful查询静态路由与下发的配置相同。使用etcd查询/vnf-agent/vpp1/config/linux/l3/v2/routes/&lt;dip&gt;/&lt;掩码&gt;/preference/&lt;优先级&gt;，查询的值与配置的值相同
【check2】配置失败，网元无异常。使用etcd查询/vnf-agent/vpp1/config/linux/l3/v2/routes/&lt;dip&gt;/&lt;掩码&gt;/preference/&lt;优先级&gt;，查询添加失败的路由不存在</t>
  </si>
  <si>
    <t>【设计方法】直接设计法</t>
  </si>
  <si>
    <t>步骤1:逻辑用例设计</t>
  </si>
  <si>
    <t>ipv4.static.route.cfg.unique</t>
  </si>
  <si>
    <t>步骤2:物理用例设计</t>
  </si>
  <si>
    <t>ipv4.static.route.add.unique</t>
  </si>
  <si>
    <t>验证添加静态路由唯一性测试</t>
  </si>
  <si>
    <t>操作=添加</t>
  </si>
  <si>
    <t>1、${操作}静态路由，目的网络地址掩码长度相同，下一跳不相同【check1】
2、${操作}静态路由，目的网络地址掩码长度相同，下一跳相同【check2】
3、${操作}静态路由，目的网络地址相同，掩码长度不相同，下一跳相同【check1】</t>
  </si>
  <si>
    <t>【check1】配置成功，使用restful查询静态路由与下发的配置相同。使用etcd查询/vnf-agent/vpp1/config/linux/l3/v2/routes/&lt;dip&gt;/&lt;掩码&gt;/preference/&lt;优先级&gt;，查询的值与配置的值相同
【check2】配置失败。使用etcd查询/vnf-agent/vpp1/config/linux/l3/v2/routes/&lt;dip&gt;/&lt;掩码&gt;/preference/&lt;优先级&gt;，查询添加失败的路由不存在</t>
  </si>
  <si>
    <t>修改字段</t>
  </si>
  <si>
    <t>目的IP</t>
  </si>
  <si>
    <t>不存在的路由ID</t>
  </si>
  <si>
    <t>数据名称=非法修改字段;有效值=目的IP,掩码长度;无效值=不存在的路由ID</t>
  </si>
  <si>
    <t>掩码长度</t>
  </si>
  <si>
    <t>ipv4.static.route.modify</t>
  </si>
  <si>
    <t>验证修改静态路由时配置${数据名称}有效值和无效值测试</t>
  </si>
  <si>
    <t>下一跳、权重、优先级</t>
  </si>
  <si>
    <t>数据名称=下一跳;有效值=1.0.0.0,223.255.255.255,(1-126].[0-255].[0-255].[0-255],[128-223].[0-255].[0-255].[0-255];无效值=0.[0-255].[0-255].[0-255],224.[0-255].[0-255].[0-255],空,超长字符串,3段点分十进制,5段点分十进制,点分号非".",127.[0-255].[0-255].[0-255],任意接口的IP
数据名称=权重;有效值=1.0,(0-255)间任意值,255.0,空;无效值=0.0,256.0,字符串,超长字符串
数据名称=优先级;有效值=1.0,(1-255)间任意值,255.0,空;无效值=0.0,256.0,字符串,超长字符串</t>
  </si>
  <si>
    <t>ipv4.static.route.invalid.modify</t>
  </si>
  <si>
    <t>验证修改静态路由不支持修改的字段测试</t>
  </si>
  <si>
    <t>非法修改字段</t>
  </si>
  <si>
    <t>1、添加一条静态路由，并获取路由ID
2、使用/api/v1/route修改该静态路由时，配置${数据名称}为$[有效值],其他参数为任意有效值查询静态路由【check1】
3、修改该静态路由时，配置${数据名称}为$[无效值],其他参数为任意有效值查询静态路由【check2】</t>
  </si>
  <si>
    <t>1、添加一条静态路由，并获取路由ID
2、使用/api/v1/route修改该静态路由的$[有效值]，观察路由【check1】
3、使用/api/v1/route修改路由时使用$[无效值]【check2】</t>
  </si>
  <si>
    <t>【check1】配置失败，提示信息正确，使用restful查询静态路由与下发的配置相同。使用etcd查询/vnf-agent/vpp1/config/linux/l3/v2/routes/&lt;dip&gt;/&lt;掩码&gt;/preference/&lt;优先级&gt;，查询的值与配置的值相同
【check2】配置失败，提示信息正确。</t>
  </si>
  <si>
    <t>路由批量删除和查询测试</t>
  </si>
  <si>
    <t>ipv4.static.route.cfg.batch</t>
  </si>
  <si>
    <t>验证静态路由批量查询和增删</t>
  </si>
  <si>
    <t>操作=查询,删除</t>
  </si>
  <si>
    <t>ipv4.static.route.query.page</t>
  </si>
  <si>
    <t>验证查询静态路由分页查询功能</t>
  </si>
  <si>
    <t>操作=查询</t>
  </si>
  <si>
    <t>1、选取任意有效的分页size为s，网元中不存在任何静态路由时使用接口/api/v1/route?page=1&amp;size=&lt;s&gt;&amp;is_ip6=false查询静态路由。【check1】
2、配置1条静态路由后使用restful查询接口查询静态路由。【check2】
3、添加至少2倍s条静态路由，使用查询接口查询第一页（page=1）静态路由。【check3】
4、使用静态路由查询接口查询最后一页静态路由。【check4】
5、使用静态路由查询接口查询中间任意页静态路由。【check3】</t>
  </si>
  <si>
    <t>【check1】返回值为空
【check2】查询结果与配置的值相同
【check3】返回s条静态路由，路由信息正确
【check4】返回路由条数为配置的路由条数除以s所得的余数，路由信息正确</t>
  </si>
  <si>
    <t>ipv4.static.route.query.size</t>
  </si>
  <si>
    <t>验证查询静态路由分页大小典型值测试</t>
  </si>
  <si>
    <t>1、配置大于40条静态路由
2、使用静态路由典型分页值10查询静态路由1到4页任意值的静态路由/api/v1/route?page=[1-4]&amp;size=10&amp;is_ip6=false查询静态路由。【check1】
3、使用静态路由典型分页值20查询静态路由1到2页任意值的静态路由。【check2】
4、使用静态路由典型分页值30查询静态路由1页任意值的静态路由。【check2】
5、使用静态路由典型分页值40查询静态路由1页任意值的静态路由。【check2】</t>
  </si>
  <si>
    <t>【check1】返回路由的条数与分页size相同，且信息正确
【check2】返回所有的路由，且信息正确</t>
  </si>
  <si>
    <t>ipv4.static.route.query.abnormal</t>
  </si>
  <si>
    <t>验证查询静态路由页数和分页大小异常值</t>
  </si>
  <si>
    <t>1、配置任意条数的静态路由
2、使用静态路由查询接口查询0页分页大小为0的静态路由。/api/v1/route?page=0&amp;size=0&amp;is_ip6=false.【check1】
3、查询静态路由page为最大值，size为最大值的。【check2】
4、查询静态路由page大于最大值【check2】
5、查询静态路由size大于最大值【check2】
6、查询静态路由page和size均为异常字符串【check2】</t>
  </si>
  <si>
    <t>【check1】返回所有的路由，且信息正确
【check2】返回当前路由条数，条数正确
【check3】返回第一页的静态路由信息</t>
  </si>
  <si>
    <t>ipv4.static.route.delete</t>
  </si>
  <si>
    <t>验证静态路由删除和批量删除功能</t>
  </si>
  <si>
    <t>操作=删除</t>
  </si>
  <si>
    <t>1、配置大于40条静态路由
2、使用静态路由典型分页值10查询静态路由1到4页任意值的静态路由/api/v1/route?page=[1-4]&amp;size=10&amp;is_ip6=false查询静态路由。【check1】
3、使用静态路由典型分页值20查询静态路由1到2页任意值的+F96静态路由。【check2】
4、使用静态路由典型分页值30查询静态路由1页任意值的静态路由。【check2】
5、使用静态路由典型分页值40查询静态路由1页任意值的静态路由。【check2】</t>
  </si>
  <si>
    <t>【check1】删除成功，静态路由配置表中配置被删除。
【check2】使用restful查询路由，对应的路由不存在
【check3】使用etcd查询路由，路由被删除
【check4】删除失败，提示信息正确。查询静态路由表与删除前完全一致（无路由备误删）。
【check5】返回删除失败，其中有效的ID被删除。查看静态路由配置中不包含在有效ID中的路由不会被删除</t>
  </si>
  <si>
    <t>ipv4.static.fib.cap</t>
  </si>
  <si>
    <t>验证静态路由优先级功能</t>
  </si>
  <si>
    <t>无</t>
  </si>
  <si>
    <t>容量=最大数量的静态路由,等价路由最大数量的成员,最大数量的等价路由组,最大数量的直连路由</t>
  </si>
  <si>
    <t>验证配置最大数量的静态路由</t>
  </si>
  <si>
    <t>路由=静态路由</t>
  </si>
  <si>
    <t>1、配置最大数量的静态路由，使用静态路由查询接口查询静态路由（page=1，size=最大数量）【check1】
2、再配置一条静态路由，查看静态路由表【check2】
3、删除部分路由，查询静态路由配置【check2】
4、再次配置最大数量的静态路由，查看静态路由表【check1】
5、再配置一条静态路由，查看静态路由表【check2】</t>
  </si>
  <si>
    <t>【check1】返回最大数量的静态路由，且路由信息正确
【check2】配置失败，静态路由表无变化
【check2】删除的路由在静态路由配置中
【check3】配置失败，</t>
  </si>
  <si>
    <t>路由操作</t>
  </si>
  <si>
    <t>创建</t>
  </si>
  <si>
    <t>划分方法：无
选取策略：合并选取
选取结果：路由操作=创建,删除,修改</t>
  </si>
  <si>
    <t>删除</t>
  </si>
  <si>
    <t>修改</t>
  </si>
  <si>
    <t>配置结果</t>
  </si>
  <si>
    <t>成功</t>
  </si>
  <si>
    <t>划分方法：无
选取策略：全选
选取结果：配置结果=成功,失败</t>
  </si>
  <si>
    <t>失败</t>
  </si>
  <si>
    <t>发生组合的数据</t>
  </si>
  <si>
    <t>约束条件&amp;选取策略</t>
  </si>
  <si>
    <t>业务操作=创建,删除,修改</t>
  </si>
  <si>
    <t>配置结果=成功,失败</t>
  </si>
  <si>
    <t>约束条件：无
选取策略：全匹配</t>
  </si>
  <si>
    <t>路由操作=创建,删除,修改;配置结果=成功,失败</t>
  </si>
  <si>
    <t>已组合</t>
  </si>
  <si>
    <t>步骤2:逻辑用例设计</t>
  </si>
  <si>
    <t>ipv4.static.route.oplog</t>
  </si>
  <si>
    <t>配置静态路由oplog测试</t>
  </si>
  <si>
    <t>业务操作、配置结果</t>
  </si>
  <si>
    <t>步骤3:物理用例设计</t>
  </si>
  <si>
    <t>路由操作=创建,删除,批量删除,修改;配置结果=成功,失败</t>
  </si>
  <si>
    <t>1、构造$[路由操作]接口对业务成功后观察Oplog【check1】
2、构造$[路由操作]接口对业务失败后观察Oplog【check2】</t>
  </si>
  <si>
    <t>【check1】Oplog记录操作结果为成功,操作对象和参数正确
【check2】Oplog记录操作结果为失败,操作对象和参数正确</t>
  </si>
  <si>
    <t>ipv4.static.route.default</t>
  </si>
  <si>
    <t>验证配置静态路由默认值</t>
  </si>
  <si>
    <t>参数=权重,优先级</t>
  </si>
  <si>
    <t>1、网元正常启动</t>
  </si>
  <si>
    <t>1、添加静态路由，权重和优先级为空。
2、检查静态路由表，查看权重和优先级。【check1】【check2】
3、配置接口IP地址。查看直连路由。【check3】</t>
  </si>
  <si>
    <t>【check1】权重默认值为1(当前存在问题)。etcd查看路由的权重默认值为1
【check2】优先级默认值为60(参考华为实现)。etcd查看路由的优先级默认值为60
【check3】直连路由默认优先级为0，cost为0。etcd查看路由的优先级默认值为0，权重默认值为1</t>
  </si>
  <si>
    <t>查询和删除路由测试</t>
  </si>
  <si>
    <t>路由转发表添加条件测试</t>
  </si>
  <si>
    <t>路由转发表删除条件测试</t>
  </si>
  <si>
    <t>修改接口IP,修改下一跳,接口状态变为Down</t>
  </si>
  <si>
    <t>路由转发表中的路由切换接口测试</t>
  </si>
  <si>
    <t>修改接口IP,修改下一跳,出接口状态变为Down</t>
  </si>
  <si>
    <t>路由转发表维护优先级功能验证</t>
  </si>
  <si>
    <t>优先级相同,优先级不同</t>
  </si>
  <si>
    <t>【设计方法】流程图法</t>
  </si>
  <si>
    <t>步骤1:流程图</t>
  </si>
  <si>
    <t>步骤2:测试路径分析</t>
  </si>
  <si>
    <t>路径编号</t>
  </si>
  <si>
    <t>路径覆盖</t>
  </si>
  <si>
    <t>路径描述</t>
  </si>
  <si>
    <t>path1</t>
  </si>
  <si>
    <t>P1-P2-P4</t>
  </si>
  <si>
    <t>配置静态路由-下一跳直接匹配接口-接口状态UP-生成路由转发表</t>
  </si>
  <si>
    <t>path2</t>
  </si>
  <si>
    <t>P1-P3-P4</t>
  </si>
  <si>
    <t>配置静态路由-下一跳不匹配接口-接口配置IP后静态路由匹配接口-接口状态UP-生成路由转发表</t>
  </si>
  <si>
    <t>path3</t>
  </si>
  <si>
    <t>P1-P2-P5</t>
  </si>
  <si>
    <t>配置静态路由-下一跳直接匹配接口-无路由-接口状态UP-生成路由转发表</t>
  </si>
  <si>
    <t>path4</t>
  </si>
  <si>
    <t>P1-P5-P5</t>
  </si>
  <si>
    <t>配置静态路由-下一跳不匹配接口-接口配置IP后静态路由匹配接口-接口为UP-无路由转发表-接口状态UP后生成路由转发表</t>
  </si>
  <si>
    <t>步骤3:等价类划分</t>
  </si>
  <si>
    <t>接口类型</t>
  </si>
  <si>
    <t>物理接口</t>
  </si>
  <si>
    <t>划分方法：无
选取策略：全选
选取结果：接口类型=物理接口,聚合接口口,L3子接口,BVI接口</t>
  </si>
  <si>
    <t>聚合接口口</t>
  </si>
  <si>
    <t>L3子接口</t>
  </si>
  <si>
    <t>BVI接口</t>
  </si>
  <si>
    <t>#Tunnel口</t>
  </si>
  <si>
    <t>目的网段</t>
  </si>
  <si>
    <t>划分方法：无
选取策略：全选
选取结果：目的网段=0.0.0.0/0,223.255.255.255/32,[1-126].[0-255].[0-255].[0-255]/[1-31],[128-223).[0-255].[0-255].[0-255]/[1-31]</t>
  </si>
  <si>
    <t>划分方法：无
选取策略：全选
选取结果：下一跳=1.0.0.0,223.255.255.255,(1-126].[0-255].[0-255].[0-255],[128-223].[0-255].[0-255].[0-255]</t>
  </si>
  <si>
    <t>划分方法：无
选取策略：全选
选取结果：权重=0,(0-255)间任意值,255,空</t>
  </si>
  <si>
    <t>划分方法：无
选取策略：全选
选取结果：优先级=1,(1-255)间任意值,255,空</t>
  </si>
  <si>
    <t>步骤4:数据组合</t>
  </si>
  <si>
    <t>测试组合</t>
  </si>
  <si>
    <t>测试路径</t>
  </si>
  <si>
    <t>接口类型&amp;测试路径</t>
  </si>
  <si>
    <t>约束条件：无
组合策略：path1加path2覆盖所有接口类型,path3加path4覆盖所有接口类型</t>
  </si>
  <si>
    <t>目的网段=0.0.0.0/0,223.255.255.255/32,[1-126].[0-255].[0-255].[0-255]/[1-31],[128-223).[0-255].[0-255].[0-255]/[1-31]</t>
  </si>
  <si>
    <t>约束条件：无
组合策略：在所有用例中出现一次即可</t>
  </si>
  <si>
    <t>权重=0,(0-255)间任意值,255,空</t>
  </si>
  <si>
    <t>优先级=1,(1-255)间任意值,255,空</t>
  </si>
  <si>
    <t>ipv4.static.fib.add.p1</t>
  </si>
  <si>
    <t>添加静态路由时下一跳匹配出接口状态为UP时直接生成路由转发表</t>
  </si>
  <si>
    <t>接口类型&amp;目的网段&amp;权重&amp;优先级</t>
  </si>
  <si>
    <t>接口类型=物理接口;目的网段=0.0.0.0/0;权重=0;优先级=1;下一跳=1.0.0.0
接口类型=BVI接口;目的网段=,[1-126].[0-255].[0-255].[0-255]/[1-31];权重=255;优先级=255;下一跳=223.255.255.255</t>
  </si>
  <si>
    <t>ipv4.static.fib.add.p2</t>
  </si>
  <si>
    <t>添加静态路由时修改接口IP后下一跳匹配出接口状态为UP时生成路由转发表</t>
  </si>
  <si>
    <t>接口类型=聚合接口;目的网段=223.255.255.255/32;权重=(0-255)间任意值;优先级=(1-255)间任意值;下一跳=(1-126].[0-255].[0-255].[0-255]
接口类型=L3子接口;目的网段=[128-223).[0-255].[0-255].[0-255]/[1-31];权重=空;优先级=空;;下一跳=[128-223].[0-255].[0-255].[0-255]</t>
  </si>
  <si>
    <t>ipv4.static.fib.add.p3</t>
  </si>
  <si>
    <t>添加静态路由时下一跳匹配出接口状态由Down到UP后生成路由转发表</t>
  </si>
  <si>
    <t>接口类型=物理接口;目的网段=0.0.0.0/0;权重=0;优先级=1;下一跳=1.0.0.0
接口类型=聚合接口;目的网段=,[1-126].[0-255].[0-255].[0-255]/[1-31];权重=255;优先级=255;下一跳=223.255.255.255</t>
  </si>
  <si>
    <t>ipv4.static.fib.add.p4</t>
  </si>
  <si>
    <t>添加静态路由时修改接口IP后下一跳匹配出接口状态由Down到UP后生成路由转发表</t>
  </si>
  <si>
    <t>接口类型=BVI接口;目的网段=223.255.255.255/32;权重=(0-255)间任意值;优先级=(1-255)间任意值;下一跳=(1-126].[0-255].[0-255].[0-255]
接口类型=L3子接口;目的网段=[128-223).[0-255].[0-255].[0-255]/[1-31];权重=空;优先级=空;;下一跳=[128-223].[0-255].[0-255].[0-255]</t>
  </si>
  <si>
    <t>添加静态路由匹配${接口类型}状态为UP时直接生成路由转发表</t>
  </si>
  <si>
    <t>1、配置${接口类型}的IP地址与下一跳同网段，该接口的状态为UP
2、添加静态路由，目的网段为${目的网段}，权重为${权重}，优先级为${优先级}，下一跳为与${下一跳}【check1】
3、查看路由转发表【check2】</t>
  </si>
  <si>
    <t>【check1】配置成功
【check2】路由转发表生成该路由</t>
  </si>
  <si>
    <t>添加静态路由再修改状态为UP的${接口类型}IP匹配静态路由后生成路由转发表</t>
  </si>
  <si>
    <t>接口类型=聚合接口;目的网段=223.255.255.255/32;权重=(0-255)间任意值;优先级=(1-255)间任意值;下一跳=(1-126].[0-255].[0-255].[0-255]
接口类型=L3子接口;目的网段=[128-223).[0-255].[0-255].[0-255]/[1-31];权重=空;优先级=空;下一跳=[128-223].[0-255].[0-255].[0-255]</t>
  </si>
  <si>
    <t>1、添加静态路由，目的网段为${目的网段}，权重为${权重}，优先级为${优先级}，下一跳为与${下一跳}【check1】
2、配置状态为UP的${接口类型}的IP地址与静态路由下一跳在相同网段【check1】
3、查看路由转发表【check2】</t>
  </si>
  <si>
    <t>添加静态路由匹配${接口类型}状态由Down到UP后生成路由转发表</t>
  </si>
  <si>
    <t>1、配置${接口类型}的IP地址与下一跳同网段，该接口的状态为Down
2、添加静态路由，目的网段为${目的网段}，权重为${权重}，优先级为${优先级}，下一跳为与${下一跳}【check1】
3、查看路由转发表【check2】
4、构造接口状态为UP，查看路由转发表【check3】</t>
  </si>
  <si>
    <t>【check1】配置成功
【check2】路由转发表中不生成该路由
【check3】路由转发表生成该路由</t>
  </si>
  <si>
    <t>添加静态路由再修改${接口类型}IP匹配静态路由后状态由Down到UP后生成转发表</t>
  </si>
  <si>
    <t>接口类型=BVI接口;目的网段=223.255.255.255/32;权重=(0-255)间任意值;优先级=(1-255)间任意值;下一跳=(1-126].[0-255].[0-255].[0-255]
接口类型=L3子接口;目的网段=[128-223).[0-255].[0-255].[0-255]/[1-31];权重=空;优先级=空;下一跳=[128-223].[0-255].[0-255].[0-255]</t>
  </si>
  <si>
    <t>1、添加静态路由，目的网段为${目的网段}，权重为${权重}，优先级为${优先级}，下一跳为与${下一跳}【check1】
2、配置状态为Down的${接口类型}的IP地址与静态路由下一跳在相同网段【check1】
3、查看路由转发表【check2】
4、构造接口状态为UP，查看路由转发表【check3】</t>
  </si>
  <si>
    <t>ipv4.static.fib.delete</t>
  </si>
  <si>
    <t>验证路由表失效功能</t>
  </si>
  <si>
    <t>操作=修改静态路由下一跳与所有接口IP不在相同网段,修改接口IP与静态路由不在相同网段,禁用路由出接口,拔掉路由出接口网线,删除静态路由</t>
  </si>
  <si>
    <t>验证${操作}后静态路由失效</t>
  </si>
  <si>
    <t>1、配置物理接口或聚合口或者BVI接口或者L3子接口的IP地址
2、配置静态路由的下一跳与该IP地址在相同网段。【check1】
3、${操作}后观察路由转发表【check2】</t>
  </si>
  <si>
    <t>【check1】配置成功，路由转发表中生成该路由
【check2】路由转发表中该路由消失</t>
  </si>
  <si>
    <t>路由转发表修改接口IP路由表不变化</t>
  </si>
  <si>
    <t>ipv4.static.fib.unchange</t>
  </si>
  <si>
    <t>验证在相同网段修改出接口IP路由表状态不变化</t>
  </si>
  <si>
    <t>操作=在相同网段修改接口IP</t>
  </si>
  <si>
    <t>1、配置物理接口或聚合口或者BVI接口或者L3子接口的IP地址
2、配置静态路由的下一跳与该IP地址在相同网段。【check1】
3、修改接口IP，修改前后接口IP在相同网段，后观察路由转发表【check2】
4、修改接口IP与路由下一跳地址相同。【check3】</t>
  </si>
  <si>
    <t>【check1】配置成功，路由转发表中生成该路由
【check2】路由转发表中该路由消失
【check3】修改失败，提示信息正确</t>
  </si>
  <si>
    <t>操作=修改静态路由下一跳与其他接口IP在相同网段,配置其他接口IP与静态路由在相同网段且掩码更长,配置其他接口IP与静态路由在相同网段且掩码更短后构造出接口Down</t>
  </si>
  <si>
    <t>ipv4.static.fib.change.intf</t>
  </si>
  <si>
    <t>验证${操作}后静态路由切换出接口</t>
  </si>
  <si>
    <t>操作=修改静态路由下一跳与其他接口IP不在相同网段,配置其他接口IP与静态路由在相同网段且掩码长度更长,配置其他接口IP与静态路由在相同网段且掩码长度更短后构造出接口Down</t>
  </si>
  <si>
    <t>【check1】配置成功，路由转发表中生成该路由
【check2】路由转发表中该路由的出接口切换为新的接口</t>
  </si>
  <si>
    <t>路由转发表优先级功能验证</t>
  </si>
  <si>
    <t>ipv4.static.fib.pri1</t>
  </si>
  <si>
    <t>ipv4.static.fib.ecmp1</t>
  </si>
  <si>
    <t>优先级相同的等价路由</t>
  </si>
  <si>
    <t>出接口=相同接口,不同接口,相同接口和不同接口共存</t>
  </si>
  <si>
    <t>ipv4.static.fib.ecmp2</t>
  </si>
  <si>
    <t>验证静态路由仅最高优先级所在转发表中生效</t>
  </si>
  <si>
    <t>操作=禁用接口,拔插网线</t>
  </si>
  <si>
    <t>1、配置物理接口或聚合口或者BVI接口或者L3子接口的IP地址
2、配置多条目的网络相同的静态路由的下一跳不相同，优先级不相同。查看路由转发表。【check1】
3、添加一条目的网段相同，下一跳不同，优先级更高的静态路由，查看静态路由转发表【check1】
4、禁用最高优先级的路由出接口，查看路由转发表【check2】
5、启用接口后，拔插最高优先级路由出接口的网线，查看路由转发表【check2】</t>
  </si>
  <si>
    <t>【check1】转发表中只有优先级最高（值最低）生效
【check2】路由转发表中仅次高优先级的路由生效</t>
  </si>
  <si>
    <t>验证静态路由的优先级相同是在${出接口}间生成等价路由</t>
  </si>
  <si>
    <t>出接口=相同接口;步骤描述=路由的多个下一跳都在同一接口IP同网段
出接口=相同和不同接口;步骤描述=多条路由的出接口部分在相同接口部分在不同接口</t>
  </si>
  <si>
    <t>1、配置物理接口或聚合口或者BVI接口或者L3子接口的IP地址。
2、配置多条目的网络相同的静态路由，所有路由的优先级均为1，路由的下一跳与${步骤描述}IP在相同网段，查看路由转发表。【check1】
3、修改所有路由的优先级为最大值255。查看路由转发表。【check1】
4、修改所有路由的优先级为1-255间任意值。查看路由转发表。【check1】</t>
  </si>
  <si>
    <t>【check1】转发表中所有下一跳全部生成等价路由</t>
  </si>
  <si>
    <t>验证等价路由与静态路由优先级最高的路由生效</t>
  </si>
  <si>
    <t>1、配置物理接口或聚合口或者BVI接口或者L3子接口的IP地址
2、配置多条目的网络相同的静态路由的下一跳不相同，优先级相同。查看路由转发表。【check1】
3、添加一条目的网段相同，下一跳不同，优先级更高的静态路由，查看静态路由转发表【check2】
4、禁用最高优先级的路由出接口，查看路由转发表【check1】
5、启用接口后，拔插最高优先级路由出接口的网线，查看路由转发表【check1】</t>
  </si>
  <si>
    <t>【check1】转发表中所有下一跳全部生成等价路由
【check2】路由转发表中仅最高优先级的路由生效
【check3】等价路由中所有下一跳全部失效</t>
  </si>
  <si>
    <t>验证${容量}功能</t>
  </si>
  <si>
    <t>1、配置物理接口或聚合口或者BVI接口或者L3子接口的IP地址
2、配置${容量}，查看路由转发表【check1】
3、删除部分路由，查看路由转发表【check2】
4、再次配置${容量}，查看路由转发表【check1】</t>
  </si>
  <si>
    <t>【check1】路由转发表中生成${容量}
【check2】删除的路由在路由转发表中失效</t>
  </si>
  <si>
    <t>HA测试</t>
  </si>
  <si>
    <t>在路由转发中已覆盖</t>
  </si>
  <si>
    <t>ipv4.static.fib.recover</t>
  </si>
  <si>
    <t>验证直连路由和静态路由配置导入导出功能</t>
  </si>
  <si>
    <t>接口类型=物理接口,聚合接口,BVI接口,L3子接口</t>
  </si>
  <si>
    <t>1、配置物理接口、聚合口、BVI接口和L3子接口的IP地址，配置静态路由和默认路由，下一跳分别与物理接口、聚合接口、BVI接口和L3子接口的IP在相同网段。观察路由转发表【check1】
2、对设备进行配置导出。【check2】
3、在设备删除任意路由，并添加一条其他的路由。
4、将步骤2导出的配置导入设备中【check3】【check1】
5、在设备删除任意路由，并添加一条其他的路由，检查路由转发表。【check4】</t>
  </si>
  <si>
    <t>【check1】所有接口IP生成直连路由，所有路由生成路由转发表项
【check2】配置导出成功，检查配置文件符合规范
【check3】配置导入成功，设备的配置如导入的配置完全相同
【check4】删除的路由在转发表中消失，添加的路由在转发表生效</t>
  </si>
  <si>
    <t>静态路由响应时间测试</t>
  </si>
  <si>
    <t>ipv4.static.route.response</t>
  </si>
  <si>
    <t>验证静态路由接口响应时间</t>
  </si>
  <si>
    <t>操作=添加静态路由,删除静态路由,批量删除静态路由40条,批量查询静态路由40条</t>
  </si>
  <si>
    <t>1、验证${操作}，记录接口响应时间。【check1】</t>
  </si>
  <si>
    <t>【check1】响应时间较上一C版本不劣化</t>
  </si>
  <si>
    <t>静态路由配置存库功能</t>
  </si>
  <si>
    <t>ipv4.static.cfg.recover</t>
  </si>
  <si>
    <t>验证配置静态路由存库功能</t>
  </si>
  <si>
    <t>操作=添加,修改,删除</t>
  </si>
  <si>
    <t>1、${操作}静态路由后，快速掉电设备。设备重启后，查看配置和路由表【check1】</t>
  </si>
  <si>
    <t>【check1】配置与掉电前相同，路由转发表表项正确。</t>
  </si>
  <si>
    <t>直连路由的维护-多接口IP</t>
  </si>
  <si>
    <t>多个接口IP</t>
  </si>
  <si>
    <t>直连路由的维护-成员接口状态</t>
  </si>
  <si>
    <t>聚合接口，BVI接口</t>
  </si>
  <si>
    <t>直连路由的维护-逻辑接口增删</t>
  </si>
  <si>
    <t>聚合口、L3子接口、BVI接口</t>
  </si>
  <si>
    <t>接口类型IP</t>
  </si>
  <si>
    <t>128.0.0.1/2</t>
  </si>
  <si>
    <t>划分方法：无
选取策略：全选
选取结果：接口IP=128.0.0.1/2,233.255.255.254/30,1.0.0.1/30,首段为(1~126]的任意有效值,首段为[128-223)的任意有效值</t>
  </si>
  <si>
    <t>233.255.255.254/30</t>
  </si>
  <si>
    <t>1.0.0.1/30</t>
  </si>
  <si>
    <t>首段为(1~126]的任意有效值</t>
  </si>
  <si>
    <t>首段为[128-223)的任意有效值</t>
  </si>
  <si>
    <t>划分方法：无
选取策略：全选
选取结果：接口类型=物理接口,聚合接口,L3子接口,BVI接口</t>
  </si>
  <si>
    <t>聚合接口</t>
  </si>
  <si>
    <t>#PPPoE接口</t>
  </si>
  <si>
    <t>接口IP=128.0.0.1/2,首段为(1~126]的任意有效值</t>
  </si>
  <si>
    <t>接口类型=物理接口;接口IP=128.0.0.1/2,首段为(1~126]的任意有效值</t>
  </si>
  <si>
    <t>接口IP=233.255.255.254/30</t>
  </si>
  <si>
    <t>接口类型=聚合接口;接口IP=233.255.255.254/30</t>
  </si>
  <si>
    <t>接口IP=1.0.0.1/30</t>
  </si>
  <si>
    <t>接口类型=L3子接口;接口IP=1.0.0.1/30</t>
  </si>
  <si>
    <t>接口IP=首段为[128-223)的任意有效值</t>
  </si>
  <si>
    <t>接口类型=BVI接口;接口IP=首段为[128-223)的任意有效值</t>
  </si>
  <si>
    <t>ipv4.direct.route.fib.phyintf</t>
  </si>
  <si>
    <t>验证接口IP生成直连路由功能</t>
  </si>
  <si>
    <t>接口类型&amp;接口IP</t>
  </si>
  <si>
    <t>接口类型=物理接口;接口IP=128.0.0.1/2,首段为(1~126]的任意有效值
接口类型=聚合接口;接口IP=233.255.255.254/30
接口类型=L3子接口;接口IP=1.0.0.1/30
接口类型=BVI接口;接口IP=首段为[128-223)的任意有效值</t>
  </si>
  <si>
    <t>ipv4.direct.route.fib</t>
  </si>
  <si>
    <t>验证${接口类型}的IP地址生成直连路由功能</t>
  </si>
  <si>
    <t>1、配置${接口类型}为路由模式
2、配置接口的IP地址为$[接口IP]，并观察路由转发表【check1】
3、构造接口状态为Down，观察路由转发表【check2】</t>
  </si>
  <si>
    <t>【check1】配置成功，路由转发表中生成接口IP所在网段的直连路由
【check2】接口IP生成的直连路由消失</t>
  </si>
  <si>
    <t>直连路由维护-接口多IP</t>
  </si>
  <si>
    <t>ipv4.direct.route.fib.mulip</t>
  </si>
  <si>
    <t>验证接口多IP均能生成直连路由</t>
  </si>
  <si>
    <t>接口类型=物理接口,聚合接口,L3子接口,BVI接口</t>
  </si>
  <si>
    <t>1、配置物理接口、聚合接口、L3子接口或者BVI接口为路由模式
2、在接口上配置至少10个IP地址，观察路由转发表【check1】
3、接口上删除部分IP地址，观察路由转发表【check2】
4、构造接口状态为Down，观察路由转发表【check3】</t>
  </si>
  <si>
    <t>【check1】接口上所有的IP地址均生成直连路由
【check2】删除的IP地址对应的直连路由消失
【check3】路由转发表中接口IP对应的直连路由全部消失</t>
  </si>
  <si>
    <t>ipv4.direct.route.fib.member</t>
  </si>
  <si>
    <t>验证逻辑接口成员状态变化对直连路由的影响</t>
  </si>
  <si>
    <t>接口类型=聚合接口,BVI接口</t>
  </si>
  <si>
    <t>验证${接口类型}成员接口状态变化对直连路由的影响</t>
  </si>
  <si>
    <t>1、在设备上配置${接口类型}
2、配置${接口类型}的IP地址，观察路由转发表【check1】
3、构造${接口类型}的部分成员口接口Down，观察路由转发表。【check1】
4、构造${接口类型}的全部成员口接口Down，观察路由转发表【check2】
5、构造{接口类型}的部分成员接口状态为Up，观察路由转发表【check1】</t>
  </si>
  <si>
    <t>【check1】接口的IP地址生成直连路由
【check2】删除的IP地址对应的直连路由消失
【check3】路由转发表中接口IP对应的直连路由全部消失</t>
  </si>
  <si>
    <t>直连路由的维护-逻辑增删</t>
  </si>
  <si>
    <t>ipv4.direct.route.fib.logic.intf</t>
  </si>
  <si>
    <t>验证逻辑接口接口增删对直连路由的影响</t>
  </si>
  <si>
    <t>接口类型=聚合接口,BVI接口,L3子接口</t>
  </si>
  <si>
    <t>1、在设备上配置聚合接口,BVI接口,L3子接口
2、配置接口的IP地址，观察路由转发表【check1】
3、删除该逻辑接口，观察路由转发表【check2】</t>
  </si>
  <si>
    <t>【check1】接口的IP地址生成直连路由
【check2】路由转发表中该逻辑接口生成的直连路由消失</t>
  </si>
  <si>
    <t>静态路由中已覆盖</t>
  </si>
  <si>
    <t>在路由转发中覆盖</t>
  </si>
  <si>
    <t>静态路由转发</t>
  </si>
  <si>
    <t>直连路由转发</t>
  </si>
  <si>
    <t>掩码最长匹配</t>
  </si>
  <si>
    <t>掩码长度最长匹配，路由转发不匹配优先级</t>
  </si>
  <si>
    <t>浮动路由业务切换测试</t>
  </si>
  <si>
    <t>出接口类型</t>
  </si>
  <si>
    <t>目的网段&amp;下一跳</t>
  </si>
  <si>
    <t>所有取值至少出现一次</t>
  </si>
  <si>
    <t>接口类型=物理接口;目的网段=0.0.0.0/0;权重=0;优先级=1;下一跳=1.0.0.0</t>
  </si>
  <si>
    <t>接口类型=聚合接口;目的网段=,[1-126].[0-255].[0-255].[0-255]/[1-31];权重=255;优先级=255;下一跳=223.255.255.255</t>
  </si>
  <si>
    <t>接口类型=L3子接口;目的网段=[128-223).[0-255].[0-255].[0-255]/[1-31];权重=空;优先级=空;;下一跳=[128-223].[0-255].[0-255].[0-255]</t>
  </si>
  <si>
    <t>接口类型=BVI接口;目的网段=223.255.255.255/32;权重=(0-255)间任意值;优先级=(1-255)间任意值;下一跳=(1-126].[0-255].[0-255].[0-255]</t>
  </si>
  <si>
    <t>ipv4.fwd.static</t>
  </si>
  <si>
    <t>验证静态路由转发</t>
  </si>
  <si>
    <t>接口类型=物理接口;目的网段=0.0.0.0/0;权重=0;优先级=1;下一跳=1.0.0.0
接口类型=聚合接口;目的网段=,[1-126].[0-255].[0-255].[0-255]/[1-31];权重=255;优先级=255;下一跳=223.255.255.255
接口类型=BVI接口;目的网段=223.255.255.255/32;权重=(0-255)间任意值;优先级=(1-255)间任意值;下一跳=(1-126].[0-255].[0-255].[0-255]
接口类型=L3子接口;目的网段=[128-223).[0-255].[0-255].[0-255]/[1-31];权重=空;优先级=空;;下一跳=[128-223].[0-255].[0-255].[0-255]</t>
  </si>
  <si>
    <t>验证出接口为${接口类型}的静态路由转发功能</t>
  </si>
  <si>
    <t>接口类型=物理接口;目的网段=0.0.0.0/0;权重=0;优先级=1;下一跳=1.0.0.0
接口类型=聚合接口;目的网段=,[1-126].[0-255].[0-255].[0-255]/[1-31];权重=255;优先级=255;下一跳=223.255.255.255
接口类型=BVI接口;目的网段=223.255.255.255/32;权重=(0-255)间任意值;优先级=(1-255)间任意值;下一跳=(1-126].[0-255].[0-255].[0-255]
接口类型=L3子接口;目的网段=[128-223).[0-255].[0-255].[0-255]/[1-31];权重=空;优先级=空;下一跳=[128-223].[0-255].[0-255].[0-255]</t>
  </si>
  <si>
    <t>1、网元正常启动
2、配置默认转发策略为允许</t>
  </si>
  <si>
    <t>1、配置静态IP目的网段为${目的网段}，下一跳为${下一跳}【check1】
2、配置${接口类型}与静态路由的下一跳在相同网段。保证下一跳能学习到ARP或者配置静态ARP
3、配置另外一个${接口类型}为路由模式，并配置IP地址，向设备发送DMAC为该接口MAC地址，DIP匹配静态路由的报文。【check2】
4、向设备发送DMAC不为该接口MAC地址，DIP匹配静态路由的报文。【check3】</t>
  </si>
  <si>
    <t>【check1】配置成功，路由转发表中生成接口IP所在网段的直连路由
【check2】报文从静态路由的出接口转发，无丢包
【check3】报文全部丢弃</t>
  </si>
  <si>
    <t>ipv4.fwd.direct</t>
  </si>
  <si>
    <t>验证直连路由转发</t>
  </si>
  <si>
    <t>接口类型=物理接口;接口IP=233.255.255.254/30
接口类型=聚合接口;接口IP=128.0.0.1/2,首段为(1~126]的任意有效值
接口类型=L3子接口;接口IP=首段为[128-223)的任意有效值
接口类型=BVI接口;接口IP=1.0.0.1/30</t>
  </si>
  <si>
    <t>验证出接口为${接口类型}的直连路由转发功能</t>
  </si>
  <si>
    <t>1、配置${接口类型}的IP地址为${接口IP}
2、选取接口IP相同网段的任意IP。保证该IP地址能学习到ARP或者配置静态ARP
3、配置另外一个${接口类型}为路由模式，并配置IP地址，向该接口发送DMAC为该接口MAC地址，DIP匹配静态路由的报文。【check1】
4、向该接口发送DMAC不为该接口MAC地址，DIP匹配静态路由的报文。【check2】</t>
  </si>
  <si>
    <t>【check1】报文从直连路由的出接口转发，无丢包
【check2】报文全部丢弃</t>
  </si>
  <si>
    <t>路由转发-最长匹配</t>
  </si>
  <si>
    <t>ipv4.fwd.longest.match1</t>
  </si>
  <si>
    <t>验证路由最长匹配</t>
  </si>
  <si>
    <t>路由类型=静态路由;预配置=多条网络地址相同掩码长度不同的静态路由且出接口不同
路由类型=直连路由;预配置=配置多个接口的网络地址相同但掩码长度不同
路由类型=直连路由和静态路由;预配置=接口IP地址和静态路由的网络地址相同掩码长度不同且路由的出接口相同</t>
  </si>
  <si>
    <t>ipv4.fwd.longest.match2</t>
  </si>
  <si>
    <t>验证${路由类型}最长匹配功能</t>
  </si>
  <si>
    <t>路由类型=静态路由;预配置=多条网络地址相同掩码长度不同的静态路由
路由类型=直连路由;预配置=配置多个接口网络地址相同但掩码长度不同
路由类型=直连路由和静态路由;预配置=接口IP地址和静态路由的网络地址相同掩码长度不同</t>
  </si>
  <si>
    <t>1、配置${预配置}
2、观察路由转发表【check1】
3、向设备发送匹配该网络地址的报文，观察报文接口情况。【check2】</t>
  </si>
  <si>
    <t>【check1】设备上生成多条掩码长度不同和出接口不同的路由
【check2】报文从掩码长度最长的接口转发报文</t>
  </si>
  <si>
    <t>验证路由转发时不匹配优先级仅匹配掩码长度</t>
  </si>
  <si>
    <t>路由类型=静态路由</t>
  </si>
  <si>
    <t>1、配置任意一条，出口为port1
2、在设备上添加一条网络地址相同，掩码长度更短，优先级值更低，出口为port2
3、向设备发送匹配该网络地址的报文，观察报文接收情况。【check1】
4、发送流量的同时，在设备上配置接口IP地址，该IP地址网络地址与静态路由的网络地址相同，但掩码长度更短。【check1】【check2】</t>
  </si>
  <si>
    <t>【check1】报文出port1转发
【check2】路由转发表正常生成直连路由</t>
  </si>
  <si>
    <t>异常报文识别</t>
  </si>
  <si>
    <t>ipv4.fwd.abnormal.pkt</t>
  </si>
  <si>
    <t>验证ipv4异常报文识别</t>
  </si>
  <si>
    <t>异常报文=SIP为ABC类地址中的广播地址，SIP为D类，SIP为E类，SIP为全F，SIP为127段，SIP为全0</t>
  </si>
  <si>
    <t>ipv4.fwd.abnormal.pkt.sip</t>
  </si>
  <si>
    <t>验证ipv4的SIP异常报文识别</t>
  </si>
  <si>
    <t>异常报文=SIP为ABC类地址中的广播地址,SIP为D类,SIP为E类,SIP为全F,SIP为127段,SIP为全0</t>
  </si>
  <si>
    <t>1、配置接口IP地址
2、在设备上配置一条默认路由
2、向设备发送$[异常报文]，观察报文接收情况。【check1】</t>
  </si>
  <si>
    <t>【check1】报文全部丢弃</t>
  </si>
  <si>
    <t>ipv4.fwd.abnormal.pkt.ipheader</t>
  </si>
  <si>
    <t>验证ipv4头部异常报文识别</t>
  </si>
  <si>
    <t>异常报文=ttl为0,ttl为1,checksum错误</t>
  </si>
  <si>
    <t>1、配置接口IP地址
2、在设备上配置一条默认路由
2、向设备发送$[异常报文]的报文，观察报文接收情况。【check1】</t>
  </si>
  <si>
    <t>ipv4.fwd.vlan.pkt</t>
  </si>
  <si>
    <t>验证带VLAN的IPv4报文转发</t>
  </si>
  <si>
    <t>VLAN层数</t>
  </si>
  <si>
    <t>VLAN层数=不带VLAN的报文,带一层VLAN的报文,带两层VLAN的报文</t>
  </si>
  <si>
    <t>1、配置一条默认路由
2、配置物理接口、BVI口、或者聚合接口IP地址，并向接口发送不带VLAN的IPv4报文。观察报文转发【check1】
3、向物理接口、BVI口、或者聚合接口发送携带一层VLAN和两层VLAN的报文，观察报文接收情况。【check2】
4、配置L3子接口的IP地址，并向子接口发送携带一层VLAN，且匹配L3子接口VLAN ID的报文。观察报文转发【check1】
5、向L3子接口发送携带一层VLAN，VLAN ID与子接口VLAN不匹配的报文，观察报文转发。【check2】
6、向子接口发送不带VLAN（L3子接口物理接口上没有IP地址）和携带两层VLAN（外层VLAN与子接口VLAN ID相同）的报文，观察报文转发【check2】</t>
  </si>
  <si>
    <t>【check1】报文正常抓饭
【check2】报文丢弃</t>
  </si>
  <si>
    <t>ipv4.fwd.modify</t>
  </si>
  <si>
    <t>修改配置</t>
  </si>
  <si>
    <t>标题描述=修改路由优先级;修改配置=修改出口为Port2的路由优先级高于Port1
标题描述=修改端口IP地址;修改配置=修改Port1的IP地址不再匹配两条静态路由</t>
  </si>
  <si>
    <t>验证${标题描述}对路由转发的影响</t>
  </si>
  <si>
    <t>1、配置Port1和port2的IP地址
2、配置两条静态路由，网络地址相同，出接口分别为Port1和Port2。其中Port1的路由优先级优于Port2的静态路由（优先级值越低优先级越优）
3、向设备发送匹配该网络地址的IPv4报文，观察报文转发。【check1】
4、${修改配置}。观察报文转发。【check2】</t>
  </si>
  <si>
    <t>【check1】报文从Port1转发
【check2】报文切换到Port2转发</t>
  </si>
  <si>
    <t>ipv4.fwd.float.rt</t>
  </si>
  <si>
    <t>验证浮动路由转发</t>
  </si>
  <si>
    <t>浮动方式</t>
  </si>
  <si>
    <t>标题描述=静态路由间切换;预配置=配置两条优先级不同出接口相同下一跳不同的静态路由;操作=修改优先级较高的路由的优先级使其低于另外一条;check1=路由按照高优先级路由下一跳的MAC地址转发;check2=转发报文的DMAC切换为另外一条路由下一跳对应的MAC地址
标题描述=静态路由和直连路由间切换;预配置=配置接口IP同时配置一跳静态路由的目的网段与接口IP同网段出接口为其他接口;操作=构造直连路由的接口Down;check1=路由按照直连路由的出接口转发;check2=报文按照静态路由的出接口转发</t>
  </si>
  <si>
    <t>1、${预配置}
2、向设备发送匹配网络地址的报文，观察报文转发。【check1】
3、向设备发送匹配该网络地址的IPv4报文，观察报文转发。【check1】
4、${操作}。观察报文转发。【check2】</t>
  </si>
  <si>
    <t>【check1】${check1}
【check2】${check2}</t>
  </si>
  <si>
    <t>路由转发可靠性</t>
  </si>
  <si>
    <t>ipv4.fwd.reliability</t>
  </si>
  <si>
    <t>验证路由转发可靠性</t>
  </si>
  <si>
    <t>可靠性操作</t>
  </si>
  <si>
    <t>操作=拔插网线,禁用启用端口,掉电复位,命令复位,反复增删路由,反复修改下一跳,反复启用停用路由,反复修改接口IP地址</t>
  </si>
  <si>
    <t>验证反复${操作}对路由转发的影响</t>
  </si>
  <si>
    <t>操作=拔插网线,禁用启用端口,掉电复位,命令复位,反复增删路由,反复修改下一跳和优先级,反复启用停用路由,反复修改接口IP地址</t>
  </si>
  <si>
    <t>1、配置接口IP地址和静态路由
2、向设备发送匹配网络地址的报文，观察报文转发。【check1】
3、反复${操作}10次以上，使路由失效，观察报文转发。【check2】
4、${操作}使路由生效，观察报文转发。【check1】</t>
  </si>
  <si>
    <t>【check1】报文转发正常
【check2】报文转发中断</t>
  </si>
  <si>
    <t>ipv4.fwd.isolate</t>
  </si>
  <si>
    <t>验证路由转发相互隔离</t>
  </si>
  <si>
    <t>业务类型=IPv6</t>
  </si>
  <si>
    <t>验证IPv4转发与${业务类型}相互隔离</t>
  </si>
  <si>
    <t>1、配置接口IP地址和静态路由
2、向设备发送匹配网络地址的报文，观察报文转发。【check1】
3、发送IPv4报文的同时，向相同接口发送IPv6的报文，观察报文转发【check2】</t>
  </si>
  <si>
    <t>【check1】报文转发正常
【check2】IPv4报文转发不受影响</t>
  </si>
  <si>
    <t>ipv4.fwd.arp</t>
  </si>
  <si>
    <t>验证路由转发时arp的可靠性</t>
  </si>
  <si>
    <t>业务类型=arp</t>
  </si>
  <si>
    <t>ipv4.fwd.reliability.arp</t>
  </si>
  <si>
    <t>验证路由转发触发arp学习</t>
  </si>
  <si>
    <t>1、配置接口IP地址和静态路由，静态路由的下一跳不会响应arp请求。
2、向设备发送匹配网络地址的报文，观察报文转发。【check1】
3、向静态路由的出接口发送路由下一跳的arp报文【check2】</t>
  </si>
  <si>
    <t>【check1】IP报文转发不同，静态路由的出接口会持续收到arp请求报文。
【check2】IP报文正常转发</t>
  </si>
  <si>
    <t>ipv4.fwd.ha</t>
  </si>
  <si>
    <t>ha转发</t>
  </si>
  <si>
    <t>不涉及</t>
  </si>
  <si>
    <t>操作=配置同步</t>
  </si>
  <si>
    <t>验证接口对业务在HA之间切换和回切</t>
  </si>
  <si>
    <t>操作=业务转发</t>
  </si>
  <si>
    <t>1、按照组网配置配置NE1和NE2之间建立高可用组，主备模式为主主或者主备均可。并在主用设备和备用设备上配置静态路由。
2、在设备上行和下行发送业务，观察业务通断【check1】
3、构造高可用组主备切换，观察业务。【check1】
4、在切换后的主用设备上删除接口对业务，观察业务通断。【check3】
5、构造高可用组回切，构造高可用组回切【check3】</t>
  </si>
  <si>
    <t>【check1】业务正常转发
【check2】业务可以正常转发
【check3】业务无法通过</t>
  </si>
  <si>
    <t>ipv4.static.fib.update</t>
  </si>
  <si>
    <t>验证直连路由和静态路由升级功能</t>
  </si>
  <si>
    <t>ipv4.fwd.update</t>
  </si>
  <si>
    <t>1、配置物理接口、聚合口、BVI接口和L3子接口的IP地址，配置静态路由，下一跳分别与物理接口、聚合接口、BVI接口和L3子接口的IP在相同网段。观察路由转发表【check1】
2、向设备发送匹配静态路由和直连路由的报文，观察报文转发【check2】
2、对设备进行升级。升级后观察配置【check3】
3、检查路由转发表和报文转发。【check1】【check2】
4、在设备删除任意路由，并添加一条其他的路由，检查路由转发表。【check4】【check5】</t>
  </si>
  <si>
    <t>【check1】所有接口IP生成直连路由，所有静态路由生成路由转发表项
【check2】报文正常转发
【check3】升级成功，所有配置与升级前完全相同
【check4】删除的路由在转发表中消失，添加的路由在转发表生效
【check5】匹配删除路由对应的业务报文中断</t>
  </si>
  <si>
    <t>不同类型接口单臂路由转发</t>
  </si>
  <si>
    <t>相同类型接口的单臂路由转发</t>
  </si>
  <si>
    <t>单臂路由与策略耦合</t>
  </si>
  <si>
    <t>单臂路由与默认策略耦合</t>
  </si>
  <si>
    <t>IPv4.single.arm.diff.intf</t>
  </si>
  <si>
    <t>验证${接口}间的单臂路由转发</t>
  </si>
  <si>
    <t>接口=聚合口与L3子接口,物理接口与L3子接口,L3子接口与L3子接口</t>
  </si>
  <si>
    <t>验证${接口描述}间的单臂路由转发</t>
  </si>
  <si>
    <t>接口描述=聚合口与L3子接口;预配置=配置聚合口和该聚合口上创建的L3子接口的IP分别匹配这两条静态路由
接口描述=物理接口与L3子接口;预配置=配置物理接口和该物理接口上创建的L3子接口的IP分别匹配这两条静态路由
接口描述=L3子接口与L3子接口;预配置=配置同一物理接口或者聚合口上的两个L3子接口的IP分别匹配这两条静态路由</t>
  </si>
  <si>
    <t>1、配置两条静态路由。
2、${预配置}
3、在${接口描述}之间双向发送匹配静态路由的报文，观察报文转发。【check1】</t>
  </si>
  <si>
    <t>【check1】报文正常转发，封装的DMAC、SMAC正确，无丢包。</t>
  </si>
  <si>
    <t>相同接口单臂路由转发</t>
  </si>
  <si>
    <t>IPv4.single.arm.same.intf</t>
  </si>
  <si>
    <t>验证${接口}内的单臂路由转发</t>
  </si>
  <si>
    <t>接口=物理接口,聚合口,L3子接口,BVI接口</t>
  </si>
  <si>
    <t>1、配置两条静态路由，下一跳不同但在相同网段。
2、配置${接口}的IP与这两条静态的下一跳在相同网段
3、向${接口}之发送配匹配这两条静态路由的报文，观察报文转发。【check1】</t>
  </si>
  <si>
    <t>IPv4.single.arm.reliability</t>
  </si>
  <si>
    <t>验证反复增删静态路由对单臂路由转发的影响</t>
  </si>
  <si>
    <t>操作=反复增删静态路由</t>
  </si>
  <si>
    <t>1、配置两条静态路由，出口形成单臂转发（出接口在相同的接口，或者出接口在同一接口上创建的不同子接口）。
2、双向发送匹配静态路由的报文，观察报文转发【check1】
3、反复增删静态路由10次以上，保持路由为删除，观察报文转发。【check2】
4、添加静态路由，观察报文转发。【check1】</t>
  </si>
  <si>
    <t>【check1】报文正常转发，封装的DMAC、SMAC正确，无丢包。
【check2】报文转发中断</t>
  </si>
  <si>
    <t>IPv4.single.arm.acl</t>
  </si>
  <si>
    <t>验证默认策略限制单臂路由转发功能</t>
  </si>
  <si>
    <t>策略类型=默认策略</t>
  </si>
  <si>
    <t>1、配置两条静态路由，出口形成单臂转发（出接口在相同的接口，或者出接口在同一接口上创建的不同子接口）。
2、双向发送匹配静态路由的报文，观察报文转发【check1】
3、配置默认策略为阻塞，观察报文转发。【check2】
4、配置默认策略为允许，观察报文转发。【check1】</t>
  </si>
  <si>
    <t>默认路由与接口网关生成等价路由</t>
  </si>
  <si>
    <t>物理接口,聚合口,L3子接口,BVI接口</t>
  </si>
  <si>
    <t>分担算法测试，修改权重，默认网关的默认权重分担</t>
  </si>
  <si>
    <t>业务切换，新增链路可以分担业务，新增链路老业务不受影响，减少链路，删除非业务转发链路业务不受影响（不支持）</t>
  </si>
  <si>
    <t>静态路由和等价路由间切换</t>
  </si>
  <si>
    <t>路由类型</t>
  </si>
  <si>
    <t>默认路由</t>
  </si>
  <si>
    <t>划分方法：无
选取策略：全选
选取结果：路由类型=静态路由,默认路由</t>
  </si>
  <si>
    <t>路由类型=默认路由;接口类型=物理接口,聚合接口,L3子接口,BVI接口</t>
  </si>
  <si>
    <t>路由类型=静态路由;接口类型=物理接口,聚合接口,L3子接口,BVI接口</t>
  </si>
  <si>
    <t>ipv4.ecmp.fib</t>
  </si>
  <si>
    <t>验证等价路由功能</t>
  </si>
  <si>
    <t>路由类型=默认路由;接口类型=物理接口,聚合接口,L3子接口,BVI接口
路由类型=静态路由;接口类型=物理接口,聚合接口,L3子接口,BVI接口</t>
  </si>
  <si>
    <t>验证${路由类型}生成等价路由功能</t>
  </si>
  <si>
    <t>1、在网元上配置${接口类型}的IP地址
2、配置多条网络地址相同，优先级相同的静态路由，路由的下一跳分别匹配${接口类型}
3、查看路由转发表【check1】
4、配置一跳优先级更优（优先级取值跟小）的${路由类型}，观察路由转发表。【check2】
5、删除步骤4中配置的静态路由，观察路由转发表。【check1】</t>
  </si>
  <si>
    <t>【check1】路由转发表中步骤2配置的所有下一跳均生效，并形成等价路由。
【check2】路由转发表中的等价路由所有的下一跳全部失效，只有新配置的静态路由生效。</t>
  </si>
  <si>
    <t>ipv4.ecmp.fib.gateway</t>
  </si>
  <si>
    <t>验证静态默认路由与接口的默认网关生成等价路由</t>
  </si>
  <si>
    <t>验证默认路由与接口网关生成等价路由功能</t>
  </si>
  <si>
    <t>1、配置物理接口、聚合口、L3子接口和BVI接口的IP地址和默认网关，默认网关和本接口IP在相同网段。
2、配置一条默认路由，其优先级与接口默认网关生成的路由的优先级相同。观察路由转发表。【check1】
3、配置静态路由的优先级优于接口默认网关生成的路由（优先级值越小越优），观察路由转发表【check2】
3、配置静态路由的优先级劣于接口默认网关生成的路由。观察路由转发表【check3】</t>
  </si>
  <si>
    <t>【check1】静态路由与所有接口的默认网关路由生成一条等价路由
【check2】所有接口默认网关生成的路由失效，只有静态默认路由生效。
【check3】所有接口默认网关生成的路由生效并形成等价路由，静态默认路由失效。</t>
  </si>
  <si>
    <t>ipv4.ecmp.loadbalance1</t>
  </si>
  <si>
    <t>验证等价路由业务分担功能</t>
  </si>
  <si>
    <t>ipv4.ecmp.loadbalance2</t>
  </si>
  <si>
    <t>验证接口默认网关路由业务分担权重的默认值</t>
  </si>
  <si>
    <t>路由类型=默认路由;接口=物理接口,聚合口,L3子接口,BVI接口</t>
  </si>
  <si>
    <t>1、配置多条具有相同优先级的静态路由，路由权重设置参考权重分担测试执行准则。
2、发送匹配静态路由，报文内容变化的报文，观察业务转发情况。【check1】
3、修改路由权重，观察业务转发情况。【check1】</t>
  </si>
  <si>
    <t>【check1】业务能够正常进行分担。业务流量覆盖权重分担测试准则。</t>
  </si>
  <si>
    <t>1、配置多个接口的IP地址，并在接口上配置默认网关（接口数量参考权重测试执行准则）。
2、发送报文内容变化且匹配默认路由的流量，观察报文转发情况【check1】
3、添加一条静态默认路由，优先级与接口默认网关生成的默认路由相同。权重值设置参考权重分担测试执行准则</t>
  </si>
  <si>
    <t>【check1】业务能够正常进行分担，默认网关生成的默认路由权重值为1，业务流量符合权重分担测试准则。</t>
  </si>
  <si>
    <t>ipv4.ecmp.link.change</t>
  </si>
  <si>
    <t>验证等价路由${标题描述}后链路切换功能</t>
  </si>
  <si>
    <t>标题描述=增删路由;操作1=配置静态增加等价路由链路;操作2=删除部分等价路由出口路由
标题描述=禁用启用接口;操作1=禁用部分等价路由部分链路出接口;操作2=启用部分或者全部被禁用接口
标题描述=拔插网线;操作1=拔出部分等价路由部分链路出接口的网线;操作2=插入部分或者全部接口的网线
标题描述=调整成员路由优先级;操作1=降低部分成员路由的优先级;操作2=提高部分或者全部优先级降低的成员路由优先级</t>
  </si>
  <si>
    <t>验证等价路由${标题描述}后业务链路切换功能</t>
  </si>
  <si>
    <t>标题描述=增删路由;操作1=配置静态增加等价路由链路;操作2=删除部分等价路由出口路由
标题描述=禁用启用接口;操作1=禁用部分等价路由部分链路出接口;操作2=启用部分或者全部被禁用接口
标题描述=拔插网线;操作1=拔出部分等价路由部分链路出接口的网线;操作2=插入部分或者全部接口的网线</t>
  </si>
  <si>
    <t xml:space="preserve">1、配置优先级相同的多条静态路由或者默认路由，具有多个下一跳。
2、发送匹该路由，报文内容变化的报文，观察业务转发情况。【check1】
3、${操作1}，观察业务转发。【check1】
3、${操作2}，观察业务转发。【check1】
</t>
  </si>
  <si>
    <t>【check1】业务能够正常进行分担。业务稳定后无丢包</t>
  </si>
  <si>
    <t>ipv4.ecmp.route.change1</t>
  </si>
  <si>
    <t>验证等价路由${标题描述}后路由切换功能</t>
  </si>
  <si>
    <t>标题描述=切换路由优先级;操作1=提高等价路由成员优先级（值更小）;操作2=调整该路由的优先级等于等价类路由的优先级,
标题描述=增删路由;操作1=新增一跳目的网段相同优先级更优(值更小)的路由;操作2=调增该路由的优先级劣于等价路由的优先级（值更大）</t>
  </si>
  <si>
    <t>ipv4.ecmp.route.change2</t>
  </si>
  <si>
    <t>标题描述=禁用启用接口;操作1=启用高优先级路由的出接口;操作2=禁用高优先级路由的出接口
标题描述=拔插网线;操作1=插入高优先级路由的出接口的网线;操作2=高优先级路由的出接口的网线</t>
  </si>
  <si>
    <t>标题描述=切换路由优先级;操作1=提高等价路由成员优先级（值更小）;操作2=调整该路由的优先级等于等价类路由的优先级
标题描述=增删路由;操作1=新增一跳目的网段相同优先级更优(值更小)的路由;操作2=调增该路由的优先级劣于等价路由的优先级（值更大）</t>
  </si>
  <si>
    <t>1、配置优先级相同的多条静态路由或者默认路由，具有多个下一跳。
2、发送匹配该路由，报文内容变化的报文，观察业务转发情况。【check1】
3、${操作1}，观察业务转发。【check2】
3、${操作2}，观察业务转发。【check1】</t>
  </si>
  <si>
    <t>【check1】业务按照等价路由惊醒转发，且业务正常进行分担。业务稳定后无丢包
【check2】业务按照高优先级的路由进行转发，等价路由在转发表中失效</t>
  </si>
  <si>
    <t>标题描述=禁用启用接口;操作1=启用高优先级路由的出接口;操作2=禁用高优先级路由的出接口
标题描述=拔插网线;操作1=拔掉高优先级路由的出接口的网线;操作2=插入高优先级路由的出接口的网线</t>
  </si>
  <si>
    <t>1、配置优先级相同的多条静态路由或者默认路由，具有多个下一跳。
2、发送匹配该路由，报文内容变化的报文，观察业务转发情况。【check1】
3、添加一条与等价路由目的网段相同，优先级更优(值更小)的路由，观察业务转发【check2】
4、${操作2}，观察业务转发。【check1】
5、${操作1}，观察业务转发。【check2】</t>
  </si>
  <si>
    <t>等价路由可靠性测试</t>
  </si>
  <si>
    <t>ipv4.ecmp.reliablity</t>
  </si>
  <si>
    <t>验证等价路由${操作}后等价路由转发功能</t>
  </si>
  <si>
    <t>操作=反复震荡链路,反复修改链路权重，反复进行设备掉电，反复进行设备命令复位</t>
  </si>
  <si>
    <t>操作=反复震荡链路,反复修改链路权重,反复进行设备掉电,反复进行设备命令复位</t>
  </si>
  <si>
    <t xml:space="preserve">1、配置优先级相同的多条静态路由或者默认路由，具有多个下一跳。
2、发送匹该路由，报文内容变化的报文，观察业务转发情况。【check1】
3、${操作}10次以上，观察业务转发。【check1】
</t>
  </si>
  <si>
    <t>ipv4.ecmp.performance</t>
  </si>
  <si>
    <t>验证等价路由链路切换时间</t>
  </si>
  <si>
    <t>操作=增加链路,减少链路</t>
  </si>
  <si>
    <t xml:space="preserve">1、配置优先级相同的多条静态路由或者默认路由，具有多个下一跳。
2、发送匹该路由，报文内容变化的报文，观察业务转发情况。【check1】
3、$[操作]，观察业务转发。【check1】
</t>
  </si>
  <si>
    <t>【check1】记录链路切换丢包，使用丢包数量/发包速率计算切换时间。并记录切换时间，对比切换时间较上一版本不劣化。</t>
  </si>
  <si>
    <t>一级目录</t>
  </si>
  <si>
    <t>二级目录</t>
  </si>
  <si>
    <t>三级目录</t>
  </si>
  <si>
    <t>用例名称*</t>
  </si>
  <si>
    <t>用例编号</t>
  </si>
  <si>
    <t>用例ID*</t>
  </si>
  <si>
    <t>用例级别*</t>
  </si>
  <si>
    <t>组网描述*</t>
  </si>
  <si>
    <t>组网约束</t>
  </si>
  <si>
    <t>测试步骤*</t>
  </si>
  <si>
    <t>预期结果*</t>
  </si>
  <si>
    <t>适用版本*</t>
  </si>
  <si>
    <t>设备类型*</t>
  </si>
  <si>
    <t>单板类型</t>
  </si>
  <si>
    <t>关键词</t>
  </si>
  <si>
    <t>测试类型*</t>
  </si>
  <si>
    <t>是否自动化*</t>
  </si>
  <si>
    <t>需求编号</t>
  </si>
  <si>
    <t>备注</t>
  </si>
  <si>
    <t>LEVEL0</t>
  </si>
  <si>
    <t>LEVEL1</t>
  </si>
  <si>
    <t>LEVEL2</t>
  </si>
  <si>
    <t>LEVEL3</t>
  </si>
  <si>
    <t>LEVEL4</t>
  </si>
  <si>
    <t>LEVEL5</t>
  </si>
  <si>
    <t>LEVEL6</t>
  </si>
  <si>
    <t>配置测试</t>
  </si>
  <si>
    <t>功能测试</t>
  </si>
  <si>
    <t>耦合测试</t>
  </si>
  <si>
    <t>可靠性测试</t>
  </si>
  <si>
    <t>性能测试</t>
  </si>
  <si>
    <t>网络特性</t>
  </si>
  <si>
    <t>IP单播</t>
  </si>
  <si>
    <t>IPv4路由</t>
  </si>
  <si>
    <t>ipv4.static.route.add.ptc0</t>
  </si>
  <si>
    <t>NGFW_V60R1C00</t>
  </si>
  <si>
    <t>J1900,C236,EP</t>
  </si>
  <si>
    <t>预测试</t>
  </si>
  <si>
    <t>是</t>
  </si>
  <si>
    <t>验证添加静态路由时配置下一跳有效值和无效值测试</t>
  </si>
  <si>
    <t>ipv4.static.route.add.ptc1</t>
  </si>
  <si>
    <t>验证添加静态路由时配置权重有效值和无效值测试</t>
  </si>
  <si>
    <t>ipv4.static.route.add.ptc2</t>
  </si>
  <si>
    <t>验证添加静态路由时配置优先级有效值和无效值测试</t>
  </si>
  <si>
    <t>ipv4.static.route.add.ptc3</t>
  </si>
  <si>
    <t>ipv4.static.route.modify.ptc0</t>
  </si>
  <si>
    <t>验证修改静态路由时配置下一跳有效值和无效值测试</t>
  </si>
  <si>
    <t>ipv4.static.route.modify.ptc1</t>
  </si>
  <si>
    <t>验证修改静态路由时配置权重有效值和无效值测试</t>
  </si>
  <si>
    <t>ipv4.static.route.modify.ptc2</t>
  </si>
  <si>
    <t>验证修改静态路由时配置优先级有效值和无效值测试</t>
  </si>
  <si>
    <t>1、添加静态路由，目的网络地址掩码长度相同，下一跳不相同【check1】
2、添加静态路由，目的网络地址掩码长度相同，下一跳相同【check2】
3、添加静态路由，目的网络地址相同，掩码长度不相同，下一跳相同【check1】</t>
  </si>
  <si>
    <t>ipv4.static.route.delete.ptc0</t>
  </si>
  <si>
    <t>添加静态路由匹配物理接口状态为UP时直接生成路由转发表</t>
  </si>
  <si>
    <t>ipv4.static.fib.add.p1.ptc0</t>
  </si>
  <si>
    <t>1、配置物理接口的IP地址与下一跳同网段，该接口的状态为UP
2、添加静态路由，目的网段为0.0.0.0/0，权重为0，优先级为1，下一跳为与1.0.0.0【check1】
3、查看路由转发表【check2】</t>
  </si>
  <si>
    <t>添加静态路由匹配BVI接口状态为UP时直接生成路由转发表</t>
  </si>
  <si>
    <t>ipv4.static.fib.add.p1.ptc1</t>
  </si>
  <si>
    <t>1、配置BVI接口的IP地址与下一跳同网段，该接口的状态为UP
2、添加静态路由，目的网段为,[1-126].[0-255].[0-255].[0-255]/[1-31]，权重为255，优先级为255，下一跳为与223.255.255.255【check1】
3、查看路由转发表【check2】</t>
  </si>
  <si>
    <t>添加静态路由再修改状态为UP的聚合接口IP匹配静态路由后生成路由转发表</t>
  </si>
  <si>
    <t>ipv4.static.fib.add.p2.ptc0</t>
  </si>
  <si>
    <t>1、添加静态路由，目的网段为223.255.255.255/32，权重为(0-255)间任意值，优先级为(1-255)间任意值，下一跳为与(1-126].[0-255].[0-255].[0-255]【check1】
2、配置状态为UP的聚合接口的IP地址与静态路由下一跳在相同网段【check1】
3、查看路由转发表【check2】</t>
  </si>
  <si>
    <t>添加静态路由再修改状态为UP的L3子接口IP匹配静态路由后生成路由转发表</t>
  </si>
  <si>
    <t>ipv4.static.fib.add.p2.ptc1</t>
  </si>
  <si>
    <t>1、添加静态路由，目的网段为[128-223).[0-255].[0-255].[0-255]/[1-31]，权重为空，优先级为空，下一跳为与[128-223].[0-255].[0-255].[0-255]【check1】
2、配置状态为UP的L3子接口的IP地址与静态路由下一跳在相同网段【check1】
3、查看路由转发表【check2】</t>
  </si>
  <si>
    <t>添加静态路由匹配物理接口状态由Down到UP后生成路由转发表</t>
  </si>
  <si>
    <t>ipv4.static.fib.add.p3.ptc0</t>
  </si>
  <si>
    <t>1、配置物理接口的IP地址与下一跳同网段，该接口的状态为Down
2、添加静态路由，目的网段为0.0.0.0/0，权重为0，优先级为1，下一跳为与1.0.0.0【check1】
3、查看路由转发表【check2】
4、构造接口状态为UP，查看路由转发表【check3】</t>
  </si>
  <si>
    <t>添加静态路由匹配聚合接口状态由Down到UP后生成路由转发表</t>
  </si>
  <si>
    <t>ipv4.static.fib.add.p3.ptc1</t>
  </si>
  <si>
    <t>1、配置聚合接口的IP地址与下一跳同网段，该接口的状态为Down
2、添加静态路由，目的网段为,[1-126].[0-255].[0-255].[0-255]/[1-31]，权重为255，优先级为255，下一跳为与223.255.255.255【check1】
3、查看路由转发表【check2】
4、构造接口状态为UP，查看路由转发表【check3】</t>
  </si>
  <si>
    <t>添加静态路由再修改BVI接口IP匹配静态路由后状态由Down到UP后生成转发表</t>
  </si>
  <si>
    <t>ipv4.static.fib.add.p4.ptc0</t>
  </si>
  <si>
    <t>1、添加静态路由，目的网段为223.255.255.255/32，权重为(0-255)间任意值，优先级为(1-255)间任意值，下一跳为与(1-126].[0-255].[0-255].[0-255]【check1】
2、配置状态为Down的BVI接口的IP地址与静态路由下一跳在相同网段【check1】
3、查看路由转发表【check2】
4、构造接口状态为UP，查看路由转发表【check3】</t>
  </si>
  <si>
    <t>添加静态路由再修改L3子接口IP匹配静态路由后状态由Down到UP后生成转发表</t>
  </si>
  <si>
    <t>ipv4.static.fib.add.p4.ptc1</t>
  </si>
  <si>
    <t>1、添加静态路由，目的网段为[128-223).[0-255].[0-255].[0-255]/[1-31]，权重为空，优先级为空，下一跳为与[128-223].[0-255].[0-255].[0-255]【check1】
2、配置状态为Down的L3子接口的IP地址与静态路由下一跳在相同网段【check1】
3、查看路由转发表【check2】
4、构造接口状态为UP，查看路由转发表【check3】</t>
  </si>
  <si>
    <t>验证修改静态路由下一跳与所有接口IP不在相同网段后静态路由失效</t>
  </si>
  <si>
    <t>ipv4.static.fib.delete.0</t>
  </si>
  <si>
    <t>1、配置物理接口或聚合口或者BVI接口或者L3子接口的IP地址
2、配置静态路由的下一跳与该IP地址在相同网段。【check1】
3、修改静态路由下一跳与所有接口IP不在相同网段后观察路由转发表【check2】</t>
  </si>
  <si>
    <t>验证修改接口IP与静态路由不在相同网段后静态路由失效</t>
  </si>
  <si>
    <t>ipv4.static.fib.delete.1</t>
  </si>
  <si>
    <t>1、配置物理接口或聚合口或者BVI接口或者L3子接口的IP地址
2、配置静态路由的下一跳与该IP地址在相同网段。【check1】
3、修改接口IP与静态路由不在相同网段后观察路由转发表【check2】</t>
  </si>
  <si>
    <t>验证禁用路由出接口后静态路由失效</t>
  </si>
  <si>
    <t>ipv4.static.fib.delete.2</t>
  </si>
  <si>
    <t>1、配置物理接口或聚合口或者BVI接口或者L3子接口的IP地址
2、配置静态路由的下一跳与该IP地址在相同网段。【check1】
3、禁用路由出接口后观察路由转发表【check2】</t>
  </si>
  <si>
    <t>验证拔掉路由出接口网线后静态路由失效</t>
  </si>
  <si>
    <t>ipv4.static.fib.delete.3</t>
  </si>
  <si>
    <t>1、配置物理接口或聚合口或者BVI接口或者L3子接口的IP地址
2、配置静态路由的下一跳与该IP地址在相同网段。【check1】
3、拔掉路由出接口网线后观察路由转发表【check2】</t>
  </si>
  <si>
    <t>验证删除静态路由后静态路由失效</t>
  </si>
  <si>
    <t>ipv4.static.fib.delete.4</t>
  </si>
  <si>
    <t>1、配置物理接口或聚合口或者BVI接口或者L3子接口的IP地址
2、配置静态路由的下一跳与该IP地址在相同网段。【check1】
3、删除静态路由后观察路由转发表【check2】</t>
  </si>
  <si>
    <t>ipv4.static.fib.unchange.ptc0</t>
  </si>
  <si>
    <t>验证修改静态路由下一跳与其他接口IP不在相同网段后静态路由切换出接口</t>
  </si>
  <si>
    <t>ipv4.static.fib.change.intf.0</t>
  </si>
  <si>
    <t>1、配置物理接口或聚合口或者BVI接口或者L3子接口的IP地址
2、配置静态路由的下一跳与该IP地址在相同网段。【check1】
3、修改静态路由下一跳与其他接口IP不在相同网段后观察路由转发表【check2】</t>
  </si>
  <si>
    <t>验证配置其他接口IP与静态路由在相同网段且掩码长度更长后静态路由切换出接口</t>
  </si>
  <si>
    <t>ipv4.static.fib.change.intf.1</t>
  </si>
  <si>
    <t>1、配置物理接口或聚合口或者BVI接口或者L3子接口的IP地址
2、配置静态路由的下一跳与该IP地址在相同网段。【check1】
3、配置其他接口IP与静态路由在相同网段且掩码长度更长后观察路由转发表【check2】</t>
  </si>
  <si>
    <t>验证配置其他接口IP与静态路由在相同网段且掩码长度更短后构造出接口Down后静态路由切换出接口</t>
  </si>
  <si>
    <t>ipv4.static.fib.change.intf.2</t>
  </si>
  <si>
    <t>1、配置物理接口或聚合口或者BVI接口或者L3子接口的IP地址
2、配置静态路由的下一跳与该IP地址在相同网段。【check1】
3、配置其他接口IP与静态路由在相同网段且掩码长度更短后构造出接口Down后观察路由转发表【check2】</t>
  </si>
  <si>
    <t>ipv4.static.fib.pri1.ptc0</t>
  </si>
  <si>
    <t>验证静态路由的优先级相同是在相同接口间生成等价路由</t>
  </si>
  <si>
    <t>ipv4.static.fib.ecmp1.ptc0</t>
  </si>
  <si>
    <t>1、配置物理接口或聚合口或者BVI接口或者L3子接口的IP地址。
2、配置多条目的网络相同的静态路由，所有路由的优先级均为1，路由的下一跳与路由的多个下一跳都在同一接口IP同网段IP在相同网段，查看路由转发表。【check1】
3、修改所有路由的优先级为最大值255。查看路由转发表。【check1】
4、修改所有路由的优先级为1-255间任意值。查看路由转发表。【check1】</t>
  </si>
  <si>
    <t>验证静态路由的优先级相同是在相同和不同接口间生成等价路由</t>
  </si>
  <si>
    <t>ipv4.static.fib.ecmp1.ptc1</t>
  </si>
  <si>
    <t>1、配置物理接口或聚合口或者BVI接口或者L3子接口的IP地址。
2、配置多条目的网络相同的静态路由，所有路由的优先级均为1，路由的下一跳与多条路由的出接口部分在相同接口部分在不同接口IP在相同网段，查看路由转发表。【check1】
3、修改所有路由的优先级为最大值255。查看路由转发表。【check1】
4、修改所有路由的优先级为1-255间任意值。查看路由转发表。【check1】</t>
  </si>
  <si>
    <t>ipv4.static.fib.ecmp2.ptc0</t>
  </si>
  <si>
    <t>验证最大数量的静态路由功能</t>
  </si>
  <si>
    <t>ipv4.static.fib.cap.0</t>
  </si>
  <si>
    <t>1、配置物理接口或聚合口或者BVI接口或者L3子接口的IP地址
2、配置最大数量的静态路由，查看路由转发表【check1】
3、删除部分路由，查看路由转发表【check2】
4、再次配置最大数量的静态路由，查看路由转发表【check1】</t>
  </si>
  <si>
    <t>【check1】路由转发表中生成最大数量的静态路由
【check2】删除的路由在路由转发表中失效</t>
  </si>
  <si>
    <t>否</t>
  </si>
  <si>
    <t>验证等价路由最大数量的成员功能</t>
  </si>
  <si>
    <t>ipv4.static.fib.cap.1</t>
  </si>
  <si>
    <t>1、配置物理接口或聚合口或者BVI接口或者L3子接口的IP地址
2、配置等价路由最大数量的成员，查看路由转发表【check1】
3、删除部分路由，查看路由转发表【check2】
4、再次配置等价路由最大数量的成员，查看路由转发表【check1】</t>
  </si>
  <si>
    <t>【check1】路由转发表中生成等价路由最大数量的成员
【check2】删除的路由在路由转发表中失效</t>
  </si>
  <si>
    <t>验证最大数量的等价路由组功能</t>
  </si>
  <si>
    <t>ipv4.static.fib.cap.2</t>
  </si>
  <si>
    <t>1、配置物理接口或聚合口或者BVI接口或者L3子接口的IP地址
2、配置最大数量的等价路由组，查看路由转发表【check1】
3、删除部分路由，查看路由转发表【check2】
4、再次配置最大数量的等价路由组，查看路由转发表【check1】</t>
  </si>
  <si>
    <t>【check1】路由转发表中生成最大数量的等价路由组
【check2】删除的路由在路由转发表中失效</t>
  </si>
  <si>
    <t>验证最大数量的直连路由功能</t>
  </si>
  <si>
    <t>ipv4.static.fib.cap.3</t>
  </si>
  <si>
    <t>1、配置物理接口或聚合口或者BVI接口或者L3子接口的IP地址
2、配置最大数量的直连路由，查看路由转发表【check1】
3、删除部分路由，查看路由转发表【check2】
4、再次配置最大数量的直连路由，查看路由转发表【check1】</t>
  </si>
  <si>
    <t>【check1】路由转发表中生成最大数量的直连路由
【check2】删除的路由在路由转发表中失效</t>
  </si>
  <si>
    <t>ipv4.static.fib.recover.ptc0</t>
  </si>
  <si>
    <t>ipv4.static.route.oplog.ptc0</t>
  </si>
  <si>
    <t>ipv4.static.route.response.ptc0</t>
  </si>
  <si>
    <t>1、验证添加静态路由,删除静态路由,批量删除静态路由40条,批量查询静态路由40条，记录接口响应时间。【check1】</t>
  </si>
  <si>
    <t>ipv4.static.route.default.ptc0</t>
  </si>
  <si>
    <t>ipv4.static.cfg.recover.ptc0</t>
  </si>
  <si>
    <t>1、添加,修改,删除静态路由后，快速掉电设备。设备重启后，查看配置和路由表【check1】</t>
  </si>
  <si>
    <t>验证物理接口的IP地址生成直连路由功能</t>
  </si>
  <si>
    <t>ipv4.direct.route.fib.ptc0</t>
  </si>
  <si>
    <t>1、配置物理接口为路由模式
2、配置接口的IP地址为128.0.0.1/2，并观察路由转发表【check1】
3、配置接口的IP地址为首段为(1~126]的任意有效值，并观察路由转发表【check1】
4、构造接口状态为Down，观察路由转发表【check2】</t>
  </si>
  <si>
    <t>验证聚合接口的IP地址生成直连路由功能</t>
  </si>
  <si>
    <t>ipv4.direct.route.fib.ptc1</t>
  </si>
  <si>
    <t>1、配置聚合接口为路由模式
2、配置接口的IP地址为233.255.255.254/30，并观察路由转发表【check1】
3、构造接口状态为Down，观察路由转发表【check2】</t>
  </si>
  <si>
    <t>验证L3子接口的IP地址生成直连路由功能</t>
  </si>
  <si>
    <t>ipv4.direct.route.fib.ptc2</t>
  </si>
  <si>
    <t>1、配置L3子接口为路由模式
2、配置接口的IP地址为1.0.0.1/30，并观察路由转发表【check1】
3、构造接口状态为Down，观察路由转发表【check2】</t>
  </si>
  <si>
    <t>验证BVI接口的IP地址生成直连路由功能</t>
  </si>
  <si>
    <t>ipv4.direct.route.fib.ptc3</t>
  </si>
  <si>
    <t>1、配置BVI接口为路由模式
2、配置接口的IP地址为首段为[128-223)的任意有效值，并观察路由转发表【check1】
3、构造接口状态为Down，观察路由转发表【check2】</t>
  </si>
  <si>
    <t>ipv4.direct.route.fib.mulip.ptc0</t>
  </si>
  <si>
    <t>验证聚合接口成员接口状态变化对直连路由的影响</t>
  </si>
  <si>
    <t>ipv4.direct.route.fib.member.0</t>
  </si>
  <si>
    <t>1、在设备上配置聚合接口
2、配置聚合接口的IP地址，观察路由转发表【check1】
3、构造聚合接口的部分成员口接口Down，观察路由转发表。【check1】
4、构造聚合接口的全部成员口接口Down，观察路由转发表【check2】
5、构造{接口类型}的部分成员接口状态为Up，观察路由转发表【check1】</t>
  </si>
  <si>
    <t>验证BVI接口成员接口状态变化对直连路由的影响</t>
  </si>
  <si>
    <t>ipv4.direct.route.fib.member.1</t>
  </si>
  <si>
    <t>1、在设备上配置BVI接口
2、配置BVI接口的IP地址，观察路由转发表【check1】
3、构造BVI接口的部分成员口接口Down，观察路由转发表。【check1】
4、构造BVI接口的全部成员口接口Down，观察路由转发表【check2】
5、构造{接口类型}的部分成员接口状态为Up，观察路由转发表【check1】</t>
  </si>
  <si>
    <t>ipv4.direct.route.fib.logic.intf.ptc0</t>
  </si>
  <si>
    <t>验证出接口为物理接口的静态路由转发功能</t>
  </si>
  <si>
    <t>ipv4.fwd.static.ptc0</t>
  </si>
  <si>
    <t>1、配置静态IP目的网段为0.0.0.0/0，下一跳为1.0.0.0【check1】
2、配置物理接口与静态路由的下一跳在相同网段。保证下一跳能学习到ARP或者配置静态ARP
3、配置另外一个物理接口为路由模式，并配置IP地址，向设备发送DMAC为该接口MAC地址，DIP匹配静态路由的报文。【check2】
4、向设备发送DMAC不为该接口MAC地址，DIP匹配静态路由的报文。【check3】</t>
  </si>
  <si>
    <t>验证出接口为聚合接口的静态路由转发功能</t>
  </si>
  <si>
    <t>ipv4.fwd.static.ptc1</t>
  </si>
  <si>
    <t>1、配置静态IP目的网段为,[1-126].[0-255].[0-255].[0-255]/[1-31]，下一跳为223.255.255.255【check1】
2、配置聚合接口与静态路由的下一跳在相同网段。保证下一跳能学习到ARP或者配置静态ARP
3、配置另外一个聚合接口为路由模式，并配置IP地址，向设备发送DMAC为该接口MAC地址，DIP匹配静态路由的报文。【check2】
4、向设备发送DMAC不为该接口MAC地址，DIP匹配静态路由的报文。【check3】</t>
  </si>
  <si>
    <t>验证出接口为BVI接口的静态路由转发功能</t>
  </si>
  <si>
    <t>ipv4.fwd.static.ptc2</t>
  </si>
  <si>
    <t>1、配置静态IP目的网段为223.255.255.255/32，下一跳为(1-126].[0-255].[0-255].[0-255]【check1】
2、配置BVI接口与静态路由的下一跳在相同网段。保证下一跳能学习到ARP或者配置静态ARP
3、配置另外一个BVI接口为路由模式，并配置IP地址，向设备发送DMAC为该接口MAC地址，DIP匹配静态路由的报文。【check2】
4、向设备发送DMAC不为该接口MAC地址，DIP匹配静态路由的报文。【check3】</t>
  </si>
  <si>
    <t>验证出接口为L3子接口的静态路由转发功能</t>
  </si>
  <si>
    <t>ipv4.fwd.static.ptc3</t>
  </si>
  <si>
    <t>1、配置静态IP目的网段为[128-223).[0-255].[0-255].[0-255]/[1-31]，下一跳为[128-223].[0-255].[0-255].[0-255]【check1】
2、配置L3子接口与静态路由的下一跳在相同网段。保证下一跳能学习到ARP或者配置静态ARP
3、配置另外一个L3子接口为路由模式，并配置IP地址，向设备发送DMAC为该接口MAC地址，DIP匹配静态路由的报文。【check2】
4、向设备发送DMAC不为该接口MAC地址，DIP匹配静态路由的报文。【check3】</t>
  </si>
  <si>
    <t>验证出接口为物理接口的直连路由转发功能</t>
  </si>
  <si>
    <t>ipv4.fwd.direct.ptc0</t>
  </si>
  <si>
    <t>1、配置物理接口的IP地址为233.255.255.254/30
2、选取接口IP相同网段的任意IP。保证该IP地址能学习到ARP或者配置静态ARP
3、配置另外一个物理接口为路由模式，并配置IP地址，向该接口发送DMAC为该接口MAC地址，DIP匹配静态路由的报文。【check1】
4、向该接口发送DMAC不为该接口MAC地址，DIP匹配静态路由的报文。【check2】</t>
  </si>
  <si>
    <t>验证出接口为聚合接口的直连路由转发功能</t>
  </si>
  <si>
    <t>ipv4.fwd.direct.ptc1</t>
  </si>
  <si>
    <t>1、配置聚合接口的IP地址为128.0.0.1/2,首段为(1~126]的任意有效值
2、选取接口IP相同网段的任意IP。保证该IP地址能学习到ARP或者配置静态ARP
3、配置另外一个聚合接口为路由模式，并配置IP地址，向该接口发送DMAC为该接口MAC地址，DIP匹配静态路由的报文。【check1】
4、向该接口发送DMAC不为该接口MAC地址，DIP匹配静态路由的报文。【check2】</t>
  </si>
  <si>
    <t>验证出接口为L3子接口的直连路由转发功能</t>
  </si>
  <si>
    <t>ipv4.fwd.direct.ptc2</t>
  </si>
  <si>
    <t>1、配置L3子接口的IP地址为首段为[128-223)的任意有效值
2、选取接口IP相同网段的任意IP。保证该IP地址能学习到ARP或者配置静态ARP
3、配置另外一个L3子接口为路由模式，并配置IP地址，向该接口发送DMAC为该接口MAC地址，DIP匹配静态路由的报文。【check1】
4、向该接口发送DMAC不为该接口MAC地址，DIP匹配静态路由的报文。【check2】</t>
  </si>
  <si>
    <t>验证出接口为BVI接口的直连路由转发功能</t>
  </si>
  <si>
    <t>ipv4.fwd.direct.ptc3</t>
  </si>
  <si>
    <t>1、配置BVI接口的IP地址为1.0.0.1/30
2、选取接口IP相同网段的任意IP。保证该IP地址能学习到ARP或者配置静态ARP
3、配置另外一个BVI接口为路由模式，并配置IP地址，向该接口发送DMAC为该接口MAC地址，DIP匹配静态路由的报文。【check1】
4、向该接口发送DMAC不为该接口MAC地址，DIP匹配静态路由的报文。【check2】</t>
  </si>
  <si>
    <t>验证静态路由最长匹配功能</t>
  </si>
  <si>
    <t>ipv4.fwd.longest.match1.ptc0</t>
  </si>
  <si>
    <t>1、配置多条网络地址相同掩码长度不同的静态路由
2、观察路由转发表【check1】
3、向设备发送匹配该网络地址的报文，观察报文接口情况。【check2】</t>
  </si>
  <si>
    <t>验证直连路由最长匹配功能</t>
  </si>
  <si>
    <t>ipv4.fwd.longest.match1.ptc1</t>
  </si>
  <si>
    <t>1、配置配置多个接口网络地址相同但掩码长度不同
2、观察路由转发表【check1】
3、向设备发送匹配该网络地址的报文，观察报文接口情况。【check2】</t>
  </si>
  <si>
    <t>验证直连路由和静态路由最长匹配功能</t>
  </si>
  <si>
    <t>ipv4.fwd.longest.match1.ptc2</t>
  </si>
  <si>
    <t>1、配置接口IP地址和静态路由的网络地址相同掩码长度不同
2、观察路由转发表【check1】
3、向设备发送匹配该网络地址的报文，观察报文接口情况。【check2】</t>
  </si>
  <si>
    <t>ipv4.fwd.longest.match2.ptc0</t>
  </si>
  <si>
    <t>ipv4.fwd.abnormal.pkt.sip.ptc0</t>
  </si>
  <si>
    <t>1、配置接口IP地址
2、在设备上配置一条默认路由
3、向设备发送SIP为ABC类地址中的广播地址，观察报文接收情况。【check1】
4、向设备发送SIP为D类，观察报文接收情况。【check1】
5、向设备发送SIP为E类，观察报文接收情况。【check1】
6、向设备发送SIP为全F，观察报文接收情况。【check1】
7、向设备发送SIP为127段，观察报文接收情况。【check1】
8、向设备发送SIP为全0，观察报文接收情况。【check1】</t>
  </si>
  <si>
    <t>ipv4.fwd.abnormal.pkt.ipheader.ptc0</t>
  </si>
  <si>
    <t>1、配置接口IP地址
2、在设备上配置一条默认路由
3、向设备发送ttl为0的报文，观察报文接收情况。【check1】
4、向设备发送ttl为1的报文，观察报文接收情况。【check1】
5、向设备发送checksum错误的报文，观察报文接收情况。【check1】</t>
  </si>
  <si>
    <t>ipv4.fwd.vlan.pkt.ptc0</t>
  </si>
  <si>
    <t>验证修改路由优先级对路由转发的影响</t>
  </si>
  <si>
    <t>ipv4.fwd.modify.ptc0</t>
  </si>
  <si>
    <t>1、配置Port1和port2的IP地址
2、配置两条静态路由，网络地址相同，出接口分别为Port1和Port2。其中Port1的路由优先级优于Port2的静态路由（优先级值越低优先级越优）
3、向设备发送匹配该网络地址的IPv4报文，观察报文转发。【check1】
4、修改出口为Port2的路由优先级高于Port1。观察报文转发。【check2】</t>
  </si>
  <si>
    <t>验证修改端口IP地址对路由转发的影响</t>
  </si>
  <si>
    <t>ipv4.fwd.modify.ptc1</t>
  </si>
  <si>
    <t>1、配置Port1和port2的IP地址
2、配置两条静态路由，网络地址相同，出接口分别为Port1和Port2。其中Port1的路由优先级优于Port2的静态路由（优先级值越低优先级越优）
3、向设备发送匹配该网络地址的IPv4报文，观察报文转发。【check1】
4、修改Port1的IP地址不再匹配两条静态路由。观察报文转发。【check2】</t>
  </si>
  <si>
    <t>验证静态路由间切换对路由转发的影响</t>
  </si>
  <si>
    <t>ipv4.fwd.float.rt.ptc0</t>
  </si>
  <si>
    <t>1、配置两条优先级不同出接口相同下一跳不同的静态路由
2、向设备发送匹配网络地址的报文，观察报文转发。【check1】
3、向设备发送匹配该网络地址的IPv4报文，观察报文转发。【check1】
4、修改优先级较高的路由的优先级使其低于另外一条。观察报文转发。【check2】</t>
  </si>
  <si>
    <t>【check1】路由按照高优先级路由下一跳的MAC地址转发
【check2】转发报文的DMAC切换为另外一条路由下一跳对应的MAC地址</t>
  </si>
  <si>
    <t>验证静态路由和直连路由间切换对路由转发的影响</t>
  </si>
  <si>
    <t>ipv4.fwd.float.rt.ptc1</t>
  </si>
  <si>
    <t>1、配置接口IP同时配置一跳静态路由的目的网段与接口IP同网段出接口为其他接口
2、向设备发送匹配网络地址的报文，观察报文转发。【check1】
3、向设备发送匹配该网络地址的IPv4报文，观察报文转发。【check1】
4、构造直连路由的接口Down。观察报文转发。【check2】</t>
  </si>
  <si>
    <t>【check1】路由按照直连路由的出接口转发
【check2】报文按照静态路由的出接口转发</t>
  </si>
  <si>
    <t>验证反复拔插网线对路由转发的影响</t>
  </si>
  <si>
    <t>ipv4.fwd.reliability.0</t>
  </si>
  <si>
    <t>1、配置接口IP地址和静态路由
2、向设备发送匹配网络地址的报文，观察报文转发。【check1】
3、反复拔插网线10次以上，使路由失效，观察报文转发。【check2】
4、拔插网线使路由生效，观察报文转发。【check1】</t>
  </si>
  <si>
    <t>验证反复禁用启用端口对路由转发的影响</t>
  </si>
  <si>
    <t>ipv4.fwd.reliability.1</t>
  </si>
  <si>
    <t>1、配置接口IP地址和静态路由
2、向设备发送匹配网络地址的报文，观察报文转发。【check1】
3、反复禁用启用端口10次以上，使路由失效，观察报文转发。【check2】
4、禁用启用端口使路由生效，观察报文转发。【check1】</t>
  </si>
  <si>
    <t>验证反复掉电复位对路由转发的影响</t>
  </si>
  <si>
    <t>ipv4.fwd.reliability.2</t>
  </si>
  <si>
    <t>1、配置接口IP地址和静态路由
2、向设备发送匹配网络地址的报文，观察报文转发。【check1】
3、反复掉电复位10次以上，复位过程中，观察报文转发。【check2】
4、设备启动后，观察报文转发。【check1】</t>
  </si>
  <si>
    <t>验证反复命令复位对路由转发的影响</t>
  </si>
  <si>
    <t>ipv4.fwd.reliability.3</t>
  </si>
  <si>
    <t>1、配置接口IP地址和静态路由
2、向设备发送匹配网络地址的报文，观察报文转发。【check1】
3、反复命令复位10次以上，复位过程中，观察报文转发。【check2】
4、设备启动后，观察报文转发。【check1】</t>
  </si>
  <si>
    <t>验证反复反复增删路由对路由转发的影响</t>
  </si>
  <si>
    <t>ipv4.fwd.reliability.4</t>
  </si>
  <si>
    <t>1、配置接口IP地址和静态路由
2、向设备发送匹配网络地址的报文，观察报文转发。【check1】
3、反复反复增删路由10次以上，使路由失效，观察报文转发。【check2】
4、反复增删路由使路由生效，观察报文转发。【check1】</t>
  </si>
  <si>
    <t>验证反复反复修改下一跳和优先级对路由转发的影响</t>
  </si>
  <si>
    <t>ipv4.fwd.reliability.5</t>
  </si>
  <si>
    <t>1、配置接口IP地址和静态路由
2、向设备发送匹配网络地址的报文，观察报文转发。【check1】
3、反复反复修改下一跳和优先级10次以上，使路由失效，观察报文转发。【check2】
4、反复修改下一跳和优先级使路由生效，观察报文转发。【check1】</t>
  </si>
  <si>
    <t>验证反复反复启用停用路由对路由转发的影响</t>
  </si>
  <si>
    <t>ipv4.fwd.reliability.6</t>
  </si>
  <si>
    <t>1、配置接口IP地址和静态路由
2、向设备发送匹配网络地址的报文，观察报文转发。【check1】
3、反复反复启用停用路由10次以上，使路由失效，观察报文转发。【check2】
4、反复启用停用路由使路由生效，观察报文转发。【check1】</t>
  </si>
  <si>
    <t>验证反复反复修改接口IP地址对路由转发的影响</t>
  </si>
  <si>
    <t>ipv4.fwd.reliability.7</t>
  </si>
  <si>
    <t>1、配置接口IP地址和静态路由
2、向设备发送匹配网络地址的报文，观察报文转发。【check1】
3、反复反复修改接口IP地址10次以上，使路由失效，观察报文转发。【check2】
4、反复修改接口IP地址使路由生效，观察报文转发。【check1】</t>
  </si>
  <si>
    <t>验证IPv4转发与IPv6相互隔离</t>
  </si>
  <si>
    <t>ipv4.fwd.isolate.ptc0</t>
  </si>
  <si>
    <t>ipv4.fwd.reliability.arp.ptc0</t>
  </si>
  <si>
    <t>ipv4.fwd.ha.ptc0</t>
  </si>
  <si>
    <t>ipv4.fwd.update.ptc0</t>
  </si>
  <si>
    <t>1、配置物理接口、聚合口、BVI接口和L3子接口的IP地址，配置静态路由，下一跳分别与物理接口、聚合接口、BVI接口和L3子接口的IP在相同网段。观察路由转发表【check1】
2、向设备发送匹配静态路由和直连路由的报文，观察报文转发【check2】
3、对设备进行升级。升级后观察配置【check3】
4、检查路由转发表和报文转发。【check1】【check2】
5、在设备删除任意路由，并添加一条其他的路由，检查路由转发表。【check4】【check5】</t>
  </si>
  <si>
    <t>验证聚合口与L3子接口间的单臂路由转发</t>
  </si>
  <si>
    <t>IPv4.single.arm.diff.intf.ptc0</t>
  </si>
  <si>
    <t>1、配置两条静态路由。
2、配置聚合口和该聚合口上创建的L3子接口的IP分别匹配这两条静态路由
3、在聚合口与L3子接口之间双向发送匹配静态路由的报文，观察报文转发。【check1】</t>
  </si>
  <si>
    <t>验证物理接口与L3子接口间的单臂路由转发</t>
  </si>
  <si>
    <t>IPv4.single.arm.diff.intf.ptc1</t>
  </si>
  <si>
    <t>1、配置两条静态路由。
2、配置物理接口和该物理接口上创建的L3子接口的IP分别匹配这两条静态路由
3、在物理接口与L3子接口之间双向发送匹配静态路由的报文，观察报文转发。【check1】</t>
  </si>
  <si>
    <t>验证L3子接口与L3子接口间的单臂路由转发</t>
  </si>
  <si>
    <t>IPv4.single.arm.diff.intf.ptc2</t>
  </si>
  <si>
    <t>1201102</t>
  </si>
  <si>
    <t>1、配置两条静态路由。
2、配置同一物理接口或者聚合口上的两个L3子接口的IP分别匹配这两条静态路由
3、在L3子接口与L3子接口之间双向发送匹配静态路由的报文，观察报文转发。【check1】</t>
  </si>
  <si>
    <t>验证物理接口内的单臂路由转发</t>
  </si>
  <si>
    <t>IPv4.single.arm.same.intf.0</t>
  </si>
  <si>
    <t>1201103</t>
  </si>
  <si>
    <t>1、配置两条静态路由，下一跳不同但在相同网段。
2、配置物理接口的IP与这两条静态的下一跳在相同网段
3、向物理接口之发送配匹配这两条静态路由的报文，观察报文转发。【check1】</t>
  </si>
  <si>
    <t>验证聚合口内的单臂路由转发</t>
  </si>
  <si>
    <t>IPv4.single.arm.same.intf.1</t>
  </si>
  <si>
    <t>1201104</t>
  </si>
  <si>
    <t>1、配置两条静态路由，下一跳不同但在相同网段。
2、配置聚合口的IP与这两条静态的下一跳
3、向聚合口之发送配匹配这两条静态路由的报文，观察报文转发。【check1】</t>
  </si>
  <si>
    <t>验证L3子接口内的单臂路由转发</t>
  </si>
  <si>
    <t>IPv4.single.arm.same.intf.2</t>
  </si>
  <si>
    <t>1201105</t>
  </si>
  <si>
    <t>1、配置两条静态路由，下一跳不同但在相同网段。
2、配置L3子接口的IP与这两条静态的下一跳
3、向L3子接口之发送配匹配这两条静态路由的报文，观察报文转发。【check1】</t>
  </si>
  <si>
    <t>验证BVI接口内的单臂路由转发</t>
  </si>
  <si>
    <t>IPv4.single.arm.same.intf.3</t>
  </si>
  <si>
    <t>1201106</t>
  </si>
  <si>
    <t>1、配置两条静态路由，下一跳不同但在相同网段。
2、配置BVI接口的IP与这两条静态的下一跳
3、向BVI接口之发送配匹配这两条静态路由的报文，观察报文转发。【check1】</t>
  </si>
  <si>
    <t>IPv4.single.arm.reliability.ptc0</t>
  </si>
  <si>
    <t>1201107</t>
  </si>
  <si>
    <t>IPv4.single.arm.acl.ptc0</t>
  </si>
  <si>
    <t>1201108</t>
  </si>
  <si>
    <t>验证默认路由生成等价路由功能</t>
  </si>
  <si>
    <t>ipv4.ecmp.fib.ptc0</t>
  </si>
  <si>
    <t>1、在网元上配置物理接口,聚合接口,L3子接口,BVI接口的IP地址
2、配置多条网络地址相同，优先级相同的静态路由，路由的下一跳分别匹配物理接口,聚合接口,L3子接口,BVI接口
3、查看路由转发表【check1】
4、配置一跳优先级更优（优先级取值跟小）的默认路由，观察路由转发表。【check2】
5、删除步骤4中配置的静态路由，观察路由转发表。【check1】</t>
  </si>
  <si>
    <t>验证静态路由生成等价路由功能</t>
  </si>
  <si>
    <t>ipv4.ecmp.fib.ptc1</t>
  </si>
  <si>
    <t>1、在网元上配置物理接口,聚合接口,L3子接口,BVI接口的IP地址
2、配置多条网络地址相同，优先级相同的静态路由，路由的下一跳分别匹配物理接口,聚合接口,L3子接口,BVI接口
3、查看路由转发表【check1】
4、配置一跳优先级更优（优先级取值跟小）的静态路由，观察路由转发表。【check2】
5、删除步骤4中配置的静态路由，观察路由转发表。【check1】</t>
  </si>
  <si>
    <t>ipv4.ecmp.fib.gateway.ptc0</t>
  </si>
  <si>
    <t>1201202</t>
  </si>
  <si>
    <t>1、配置物理接口、聚合口、L3子接口和BVI接口的IP地址和默认网关，默认网关和本接口IP在相同网段。
2、配置一条默认路由，其优先级与接口默认网关生成的路由的优先级相同。观察路由转发表。【check1】
3、配置静态路由的优先级优于接口默认网关生成的路由（优先级值越小越优），观察路由转发表【check2】
4、配置静态路由的优先级劣于接口默认网关生成的路由。观察路由转发表【check3】</t>
  </si>
  <si>
    <t>ipv4.ecmp.loadbalance1.ptc0</t>
  </si>
  <si>
    <t>1201203</t>
  </si>
  <si>
    <t>ipv4.ecmp.loadbalance2.ptc0</t>
  </si>
  <si>
    <t>1201204</t>
  </si>
  <si>
    <t>验证等价路由增删路由后业务链路切换功能</t>
  </si>
  <si>
    <t>ipv4.ecmp.link.change.ptc0</t>
  </si>
  <si>
    <t>1201205</t>
  </si>
  <si>
    <t xml:space="preserve">1、配置优先级相同的多条静态路由或者默认路由，具有多个下一跳。
2、发送匹该路由，报文内容变化的报文，观察业务转发情况。【check1】
3、配置静态增加等价路由链路，观察业务转发。【check1】
4、删除部分等价路由出口路由，观察业务转发。【check1】
</t>
  </si>
  <si>
    <t>验证等价路由禁用启用接口后业务链路切换功能</t>
  </si>
  <si>
    <t>ipv4.ecmp.link.change.ptc1</t>
  </si>
  <si>
    <t>1201206</t>
  </si>
  <si>
    <t xml:space="preserve">1、配置优先级相同的多条静态路由或者默认路由，具有多个下一跳。
2、发送匹该路由，报文内容变化的报文，观察业务转发情况。【check1】
3、禁用部分等价路由部分链路出接口，观察业务转发。【check1】
4、启用部分或者全部被禁用接口，观察业务转发。【check1】
</t>
  </si>
  <si>
    <t>验证等价路由拔插网线后业务链路切换功能</t>
  </si>
  <si>
    <t>ipv4.ecmp.link.change.ptc2</t>
  </si>
  <si>
    <t>1201207</t>
  </si>
  <si>
    <t xml:space="preserve">1、配置优先级相同的多条静态路由或者默认路由，具有多个下一跳。
2、发送匹该路由，报文内容变化的报文，观察业务转发情况。【check1】
3、拔出部分等价路由部分链路出接口的网线，观察业务转发。【check1】
4、插入部分或者全部接口的网线，观察业务转发。【check1】
</t>
  </si>
  <si>
    <t>验证等价路由切换路由优先级后路由切换功能</t>
  </si>
  <si>
    <t>ipv4.ecmp.route.change1.ptc0</t>
  </si>
  <si>
    <t>1201208</t>
  </si>
  <si>
    <t>1、配置优先级相同的多条静态路由或者默认路由，具有多个下一跳。
2、发送匹配该路由，报文内容变化的报文，观察业务转发情况。【check1】
3、提高等价路由成员优先级（值更小），观察业务转发。【check2】
4、调整该路由的优先级等于等价类路由的优先级，观察业务转发。【check1】</t>
  </si>
  <si>
    <t>验证等价路由增删路由后路由切换功能</t>
  </si>
  <si>
    <t>ipv4.ecmp.route.change1.ptc1</t>
  </si>
  <si>
    <t>1、配置优先级相同的多条静态路由或者默认路由，具有多个下一跳。
2、发送匹配该路由，报文内容变化的报文，观察业务转发情况。【check1】
3、新增一跳目的网段相同优先级更优(值更小)的路由，观察业务转发。【check2】
4、调增该路由的优先级劣于等价路由的优先级（值更大），观察业务转发。【check1】</t>
  </si>
  <si>
    <t>验证等价路由禁用启用接口后路由切换功能</t>
  </si>
  <si>
    <t>ipv4.ecmp.route.change2.ptc0</t>
  </si>
  <si>
    <t>1、配置优先级相同的多条静态路由或者默认路由，具有多个下一跳。
2、发送匹配该路由，报文内容变化的报文，观察业务转发情况。【check1】
3、添加一条与等价路由目的网段相同，优先级更优(值更小)的路由，观察业务转发【check2】
4、禁用高优先级路由的出接口，观察业务转发。【check1】
5、启用高优先级路由的出接口，观察业务转发。【check2】</t>
  </si>
  <si>
    <t>验证等价路由拔插网线后路由切换功能</t>
  </si>
  <si>
    <t>ipv4.ecmp.route.change2.ptc1</t>
  </si>
  <si>
    <t>1、配置优先级相同的多条静态路由或者默认路由，具有多个下一跳。
2、发送匹配该路由，报文内容变化的报文，观察业务转发情况。【check1】
3、添加一条与等价路由目的网段相同，优先级更优(值更小)的路由，观察业务转发【check2】
4、插入高优先级路由的出接口的网线，观察业务转发。【check1】
5、拔掉高优先级路由的出接口的网线，观察业务转发。【check2】</t>
  </si>
  <si>
    <t>验证等价路由反复震荡链路后等价路由转发功能</t>
  </si>
  <si>
    <t>ipv4.ecmp.reliablity.0</t>
  </si>
  <si>
    <t xml:space="preserve">1、配置优先级相同的多条静态路由或者默认路由，具有多个下一跳。
2、发送匹该路由，报文内容变化的报文，观察业务转发情况。【check1】
3、反复震荡链路10次以上，观察业务转发。【check1】
</t>
  </si>
  <si>
    <t>验证等价路由反复修改链路权重后等价路由转发功能</t>
  </si>
  <si>
    <t>ipv4.ecmp.reliablity.1</t>
  </si>
  <si>
    <t xml:space="preserve">1、配置优先级相同的多条静态路由或者默认路由，具有多个下一跳。
2、发送匹该路由，报文内容变化的报文，观察业务转发情况。【check1】
3、反复修改链路权重10次以上，观察业务转发。【check1】
</t>
  </si>
  <si>
    <t>验证等价路由反复进行设备掉电后等价路由转发功能</t>
  </si>
  <si>
    <t>ipv4.ecmp.reliablity.2</t>
  </si>
  <si>
    <t xml:space="preserve">1、配置优先级相同的多条静态路由或者默认路由，具有多个下一跳。
2、发送匹该路由，报文内容变化的报文，观察业务转发情况。【check1】
3、反复进行设备掉电10次以上，观察业务转发。【check1】
</t>
  </si>
  <si>
    <t>验证等价路由反复进行设备命令复位后等价路由转发功能</t>
  </si>
  <si>
    <t>ipv4.ecmp.reliablity.3</t>
  </si>
  <si>
    <t xml:space="preserve">1、配置优先级相同的多条静态路由或者默认路由，具有多个下一跳。
2、发送匹该路由，报文内容变化的报文，观察业务转发情况。【check1】
3、反复进行设备命令复位10次以上，观察业务转发。【check1】
</t>
  </si>
  <si>
    <t>ipv4.ecmp.performance.ptc0</t>
  </si>
  <si>
    <t xml:space="preserve">1、配置优先级相同的多条静态路由或者默认路由，具有多个下一跳。
2、发送匹该路由，报文内容变化的报文，观察业务转发情况。【check1】
3、增加链路，观察业务转发。【check1】
4、减少链路，观察业务转发。【check1】
</t>
  </si>
  <si>
    <t>验证添加静态路由时配置目的网络有效值和无效值测试</t>
  </si>
  <si>
    <t>1、使用/api/v1/route接口添加静态路由时，配置目的网络为0.0.0.0/0，其他参数为任意有效值,查询静态路由【check1】
2、使用/api/v1/route接口添加静态路由时，配置目的网络为223.255.255.255/32，其他参数为任意有效值,查询静态路由【check1】
3、使用/api/v1/route接口添加静态路由时，配置目的网络为[1-126].[0-255].[0-255].[0-255]/[1-31]，其他参数为任意有效值,查询静态路由【check1】
4、使用/api/v1/route接口添加静态路由时，配置目的网络为[128-223).[0-255].[0-255].[0-255]/[1-31]，其他参数为任意有效值,查询静态路由【check1】
5、使用/api/v1/route接口添加静态路由时，配置目的网络为[224-255].[0-255].[0-255].[0-255]/[1-2]，其他参数为任意有效值,查询静态路由【check1】
6、使用/api/v1/route接口添加静态路由时，配置目的网络为127.[0-255].[0-255].[0-255]/[1-7]，其他参数为任意有效值,查询静态路由【check1】
7、添加静态路由时，配置目的网络为224.0.0.0/[3-32]，其他参数为任意有效值,查询静态路由【check2】
8、添加静态路由时，配置目的网络为127.[0-255].[0-255].[0-255]/[8-32]，其他参数为任意有效值,查询静态路由【check2】
9、添加静态路由时，配置目的网络为空，其他参数为任意有效值,查询静态路由【check2】
10、添加静态路由时，配置目的网络为超长字符串，其他参数为任意有效值,查询静态路由【check2】
11、添加静态路由时，配置目的网络为3段点分十进制，其他参数为任意有效值,查询静态路由【check2】
12、添加静态路由时，配置目的网络为5段点分十进制，其他参数为任意有效值,查询静态路由【check2】
13、添加静态路由时，配置目的网络为点分号错误，其他参数为任意有效值,查询静态路由【check2】
14、添加静态路由时，配置目的网络为掩码分隔符错误，其他参数为任意有效值,查询静态路由【check2】
15、添加静态路由时，配置目的网络为16进制IP，其他参数为任意有效值,查询静态路由【check2】</t>
  </si>
  <si>
    <t>1、使用/api/v1/route接口添加静态路由时，配置下一跳为1.0.0.0，其他参数为任意有效值,查询静态路由【check1】
2、使用/api/v1/route接口添加静态路由时，配置下一跳为223.255.255.255，其他参数为任意有效值,查询静态路由【check1】
3、使用/api/v1/route接口添加静态路由时，配置下一跳为(1-126].[0-255].[0-255].[0-255]，其他参数为任意有效值,查询静态路由【check1】
4、使用/api/v1/route接口添加静态路由时，配置下一跳为[128-223].[0-255].[0-255].[0-255]，其他参数为任意有效值,查询静态路由【check1】
5、添加静态路由时，配置下一跳为0.[0-255].[0-255].[0-255]，其他参数为任意有效值,查询静态路由【check2】
6、添加静态路由时，配置下一跳为224.[0-255].[0-255].[0-255]，其他参数为任意有效值,查询静态路由【check2】
7、添加静态路由时，配置下一跳为空，其他参数为任意有效值,查询静态路由【check2】
8、添加静态路由时，配置下一跳为超长字符串，其他参数为任意有效值,查询静态路由【check2】
9、添加静态路由时，配置下一跳为3段点分十进制，其他参数为任意有效值,查询静态路由【check2】
10、添加静态路由时，配置下一跳为5段点分十进制，其他参数为任意有效值,查询静态路由【check2】
11、添加静态路由时，配置下一跳为点分号非"."，其他参数为任意有效值,查询静态路由【check2】
12、添加静态路由时，配置下一跳为127.[0-255].[0-255].[0-255]，其他参数为任意有效值,查询静态路由【check2】
13、添加静态路由时，配置下一跳为任意接口的IP，其他参数为任意有效值,查询静态路由【check2】</t>
  </si>
  <si>
    <t>1、使用/api/v1/route接口添加静态路由时，配置权重为1.0，其他参数为任意有效值,查询静态路由【check1】
2、使用/api/v1/route接口添加静态路由时，配置权重为(0-255)间任意值，其他参数为任意有效值,查询静态路由【check1】
3、使用/api/v1/route接口添加静态路由时，配置权重为255.0，其他参数为任意有效值,查询静态路由【check1】
4、使用/api/v1/route接口添加静态路由时，配置权重为空，其他参数为任意有效值,查询静态路由【check1】
5、添加静态路由时，配置权重为0.0，其他参数为任意有效值,查询静态路由【check2】
6、添加静态路由时，配置权重为256.0，其他参数为任意有效值,查询静态路由【check2】
7、添加静态路由时，配置权重为字符串，其他参数为任意有效值,查询静态路由【check2】
8、添加静态路由时，配置权重为超长字符串，其他参数为任意有效值,查询静态路由【check2】</t>
  </si>
  <si>
    <t>1、使用/api/v1/route接口添加静态路由时，配置优先级为1.0，其他参数为任意有效值,查询静态路由【check1】
2、使用/api/v1/route接口添加静态路由时，配置优先级为(1-255)间任意值，其他参数为任意有效值,查询静态路由【check1】
3、使用/api/v1/route接口添加静态路由时，配置优先级为255.0，其他参数为任意有效值,查询静态路由【check1】
4、使用/api/v1/route接口添加静态路由时，配置优先级为空，其他参数为任意有效值,查询静态路由【check1】
5、添加静态路由时，配置优先级为0.0，其他参数为任意有效值,查询静态路由【check2】
6、添加静态路由时，配置优先级为256.0，其他参数为任意有效值,查询静态路由【check2】
7、添加静态路由时，配置优先级为字符串，其他参数为任意有效值,查询静态路由【check2】
8、添加静态路由时，配置优先级为超长字符串，其他参数为任意有效值,查询静态路由【check2】</t>
  </si>
  <si>
    <t>ipv4.static.route.add.unique.ptc0</t>
  </si>
  <si>
    <t>1、添加一条静态路由，并获取路由ID
2、使用/api/v1/route修改该静态路由时，配置下一跳为1.0.0.0,其他参数为任意有效值查询静态路由【check1】
3、使用/api/v1/route修改该静态路由时，配置下一跳为223.255.255.255,其他参数为任意有效值查询静态路由【check1】
4、使用/api/v1/route修改该静态路由时，配置下一跳为(1-126].[0-255].[0-255].[0-255],其他参数为任意有效值查询静态路由【check1】
5、使用/api/v1/route修改该静态路由时，配置下一跳为[128-223].[0-255].[0-255].[0-255],其他参数为任意有效值查询静态路由【check1】
6、修改该静态路由时，配置下一跳为0.[0-255].[0-255].[0-255],其他参数为任意有效值查询静态路由【check2】
7、修改该静态路由时，配置下一跳为224.[0-255].[0-255].[0-255],其他参数为任意有效值查询静态路由【check2】
8、修改该静态路由时，配置下一跳为空,其他参数为任意有效值查询静态路由【check2】
9、修改该静态路由时，配置下一跳为超长字符串,其他参数为任意有效值查询静态路由【check2】
10、修改该静态路由时，配置下一跳为3段点分十进制,其他参数为任意有效值查询静态路由【check2】
11、修改该静态路由时，配置下一跳为5段点分十进制,其他参数为任意有效值查询静态路由【check2】
12、修改该静态路由时，配置下一跳为点分号非".",其他参数为任意有效值查询静态路由【check2】
13、修改该静态路由时，配置下一跳为127.[0-255].[0-255].[0-255],其他参数为任意有效值查询静态路由【check2】
14、修改该静态路由时，配置下一跳为任意接口的IP,其他参数为任意有效值查询静态路由【check2】</t>
  </si>
  <si>
    <t>1、添加一条静态路由，并获取路由ID
2、使用/api/v1/route修改该静态路由时，配置权重为1.0,其他参数为任意有效值查询静态路由【check1】
3、使用/api/v1/route修改该静态路由时，配置权重为(0-255)间任意值,其他参数为任意有效值查询静态路由【check1】
4、使用/api/v1/route修改该静态路由时，配置权重为255.0,其他参数为任意有效值查询静态路由【check1】
5、使用/api/v1/route修改该静态路由时，配置权重为空,其他参数为任意有效值查询静态路由【check1】
6、修改该静态路由时，配置权重为0.0,其他参数为任意有效值查询静态路由【check2】
7、修改该静态路由时，配置权重为256.0,其他参数为任意有效值查询静态路由【check2】
8、修改该静态路由时，配置权重为字符串,其他参数为任意有效值查询静态路由【check2】
9、修改该静态路由时，配置权重为超长字符串,其他参数为任意有效值查询静态路由【check2】</t>
  </si>
  <si>
    <t>1、添加一条静态路由，并获取路由ID
2、使用/api/v1/route修改该静态路由时，配置优先级为1.0,其他参数为任意有效值查询静态路由【check1】
3、使用/api/v1/route修改该静态路由时，配置优先级为(1-255)间任意值,其他参数为任意有效值查询静态路由【check1】
4、使用/api/v1/route修改该静态路由时，配置优先级为255.0,其他参数为任意有效值查询静态路由【check1】
5、使用/api/v1/route修改该静态路由时，配置优先级为空,其他参数为任意有效值查询静态路由【check1】
6、修改该静态路由时，配置优先级为0.0,其他参数为任意有效值查询静态路由【check2】
7、修改该静态路由时，配置优先级为256.0,其他参数为任意有效值查询静态路由【check2】
8、修改该静态路由时，配置优先级为字符串,其他参数为任意有效值查询静态路由【check2】
9、修改该静态路由时，配置优先级为超长字符串,其他参数为任意有效值查询静态路由【check2】</t>
  </si>
  <si>
    <t>ipv4.static.route.invalid.modify.ptc0</t>
  </si>
  <si>
    <t>1、添加一条静态路由，并获取路由ID
2、使用/api/v1/route修改该静态路由的目的IP，观察路由【check1】
3、使用/api/v1/route修改该静态路由的掩码长度，观察路由【check1】
4、使用/api/v1/route修改路由时使用不存在的路由ID【check2】</t>
  </si>
  <si>
    <t>ipv4.static.route.query.page.ptc0</t>
  </si>
  <si>
    <t>ipv4.static.route.query.size.ptc0</t>
  </si>
  <si>
    <t>ipv4.static.route.query.abnormal.ptc0</t>
  </si>
  <si>
    <t>ipv4.static.fib.cap.ptc0</t>
  </si>
  <si>
    <t>统计信息</t>
  </si>
  <si>
    <t>用例级别</t>
  </si>
  <si>
    <t>目标占比</t>
  </si>
  <si>
    <t>实际占比</t>
  </si>
  <si>
    <t>LEVEL0~1</t>
  </si>
  <si>
    <t>&lt;15%</t>
  </si>
  <si>
    <t>LEVEL2~3</t>
  </si>
  <si>
    <t>&gt;40%</t>
  </si>
  <si>
    <t>LEVEL0~3</t>
  </si>
  <si>
    <t>&gt;60%</t>
  </si>
  <si>
    <t>可自动化率</t>
  </si>
  <si>
    <t>详细数据</t>
  </si>
  <si>
    <t>数量</t>
  </si>
  <si>
    <t>占比</t>
  </si>
  <si>
    <t>是否自动化</t>
  </si>
  <si>
    <t>总数</t>
  </si>
  <si>
    <t>用例基线时间点</t>
  </si>
  <si>
    <t>TR5基线一次</t>
  </si>
  <si>
    <t>TR6基线一次</t>
  </si>
  <si>
    <t>字段填写说明</t>
  </si>
  <si>
    <t>使用1到4级目录加三位数字，例如SrvQuality.Qos.Classfy.DiffServ001</t>
  </si>
  <si>
    <t>使用LEVEL0~LEVEL6级，定义说明见下表</t>
  </si>
  <si>
    <t>层级描述</t>
  </si>
  <si>
    <t>统计说明</t>
  </si>
  <si>
    <t>包含配置测试、配置容错测试</t>
  </si>
  <si>
    <t>1、基本用例Level0~Level3占比总用例60%以上；Level0~Level1占总用例不超过15%，Level2~Level3占总用例至少40%
2、Level0、Level2级别的用例可以做自动化用例；Level1、Level3级别的用例争取做自动化</t>
  </si>
  <si>
    <t>配置可靠性测试</t>
  </si>
  <si>
    <t>包含配置容限测试、Oplog</t>
  </si>
  <si>
    <t>基本功能测试</t>
  </si>
  <si>
    <t>客户常用功能和常用告警性能</t>
  </si>
  <si>
    <t>扩展功能测试</t>
  </si>
  <si>
    <t>客户不常用的功能和不常用告警性能</t>
  </si>
  <si>
    <t>特性可靠性</t>
  </si>
  <si>
    <t>包含单特性的可靠性测试用例。包括反复增删单特性配置、复位重启、拔插单板、网线、主备切换等</t>
  </si>
  <si>
    <t>特性耦合测试</t>
  </si>
  <si>
    <t>包含两特性耦合和多特性耦合测试用例</t>
  </si>
  <si>
    <t>特性升级</t>
  </si>
  <si>
    <t>单特性的升级测试用例，包括升级前后配置检查、升级后观察业务、增删配置等</t>
  </si>
  <si>
    <t>组网描述</t>
  </si>
  <si>
    <t>必须是用英文的逗号分隔。例如Update01,Update02</t>
  </si>
  <si>
    <t>按实际情况填写</t>
  </si>
  <si>
    <t>通常一个用例不超过7步</t>
  </si>
  <si>
    <t>使用check点的方式填写</t>
  </si>
  <si>
    <t>适用版本</t>
  </si>
  <si>
    <t>必须以英文逗号分隔,必须使用统一的名称:V1R1C00,V1R1C01</t>
  </si>
  <si>
    <t>必须以英文逗号分隔,J1900,C236,EP</t>
  </si>
  <si>
    <t>必须以英文逗号分隔,</t>
  </si>
  <si>
    <t>必须以逗号分隔，公共的关键字必须一致，新增关键字找用例管理员申请</t>
  </si>
  <si>
    <t>LEVEL0,LEVEL1--&gt;配置测试；LEVEL2,LEVEL3--&gt;功能测试；LEVEL4--&gt;可靠性测试；LEVL5--&gt;耦合测试；LEVEL6--&gt;升级测试</t>
  </si>
  <si>
    <t>"是"或者"否"</t>
  </si>
  <si>
    <t>暂时不填</t>
  </si>
  <si>
    <t>按实际情况填写
用例生成工具说明:
1、${}形式的测试数据直接替换
2、$[]形式的测试数据会在同一个用例中重复测试步骤</t>
  </si>
  <si>
    <t>1、网元正常启动</t>
    <phoneticPr fontId="1" type="noConversion"/>
  </si>
  <si>
    <t>1、添加静态路由，权重和优先级为空。
2、检查静态路由表，查看权重和优先级。【check1】【check2】
3、配置接口IP地址。查看直连路由。【check3】</t>
    <phoneticPr fontId="1" type="noConversion"/>
  </si>
  <si>
    <t>1、构造创建接口对业务成功后观察Oplog【check1】
2、构造删除接口对业务成功后观察Oplog【check1】
3、构造批量删除接口对业务成功后观察Oplog【check1】
4、构造修改接口对业务成功后观察Oplog【check1】
5、构造创建接口对业务失败后观察Oplog【check2】
6、构造删除接口对业务失败后观察Oplog【check2】
7、构造批量删除接口对业务失败后观察Oplog【check2】
8、构造修改接口对业务失败后观察Oplog【check2】</t>
    <phoneticPr fontId="1" type="noConversion"/>
  </si>
  <si>
    <t>预测试</t>
    <phoneticPr fontId="1" type="noConversion"/>
  </si>
  <si>
    <t>【check1】配置成功
【check2】路由转发表生成该路由</t>
    <phoneticPr fontId="1" type="noConversion"/>
  </si>
  <si>
    <t>1201101</t>
    <phoneticPr fontId="1" type="noConversion"/>
  </si>
  <si>
    <t>1201109</t>
  </si>
  <si>
    <t>1201110</t>
  </si>
  <si>
    <t>1201111</t>
  </si>
  <si>
    <t>1201112</t>
  </si>
  <si>
    <t>1201113</t>
  </si>
  <si>
    <t>1201114</t>
  </si>
  <si>
    <t>1201115</t>
  </si>
  <si>
    <t>1201116</t>
  </si>
  <si>
    <t>1201117</t>
  </si>
  <si>
    <t>1201118</t>
  </si>
  <si>
    <t>1201119</t>
  </si>
  <si>
    <t>1201120</t>
  </si>
  <si>
    <t>1201121</t>
  </si>
  <si>
    <t>1201122</t>
  </si>
  <si>
    <t>1201123</t>
  </si>
  <si>
    <t>1201124</t>
  </si>
  <si>
    <t>1201125</t>
  </si>
  <si>
    <t>1201126</t>
  </si>
  <si>
    <t>1201127</t>
  </si>
  <si>
    <t>1201128</t>
  </si>
  <si>
    <t>1201201</t>
    <phoneticPr fontId="1" type="noConversion"/>
  </si>
  <si>
    <t>1202101</t>
    <phoneticPr fontId="1" type="noConversion"/>
  </si>
  <si>
    <t>1202102</t>
  </si>
  <si>
    <t>1202103</t>
  </si>
  <si>
    <t>1202104</t>
  </si>
  <si>
    <t>1202105</t>
  </si>
  <si>
    <t>1202106</t>
  </si>
  <si>
    <t>1202107</t>
  </si>
  <si>
    <t>1202108</t>
  </si>
  <si>
    <t>1202109</t>
  </si>
  <si>
    <t>1202110</t>
  </si>
  <si>
    <t>1202111</t>
  </si>
  <si>
    <t>1202112</t>
  </si>
  <si>
    <t>1202113</t>
  </si>
  <si>
    <t>1202114</t>
  </si>
  <si>
    <t>1202115</t>
  </si>
  <si>
    <t>1202116</t>
  </si>
  <si>
    <t>1202117</t>
  </si>
  <si>
    <t>1202118</t>
  </si>
  <si>
    <t>1202119</t>
  </si>
  <si>
    <t>1202120</t>
  </si>
  <si>
    <t>1202121</t>
  </si>
  <si>
    <t>1202122</t>
  </si>
  <si>
    <t>1202123</t>
  </si>
  <si>
    <t>1202124</t>
  </si>
  <si>
    <t>1202125</t>
  </si>
  <si>
    <t>1202126</t>
  </si>
  <si>
    <t>1202127</t>
  </si>
  <si>
    <t>1202128</t>
  </si>
  <si>
    <t>1202129</t>
  </si>
  <si>
    <t>1202130</t>
  </si>
  <si>
    <t>1202131</t>
  </si>
  <si>
    <t>1202201</t>
    <phoneticPr fontId="1" type="noConversion"/>
  </si>
  <si>
    <t>1202202</t>
  </si>
  <si>
    <t>1202203</t>
  </si>
  <si>
    <t>1202204</t>
  </si>
  <si>
    <t>1202205</t>
  </si>
  <si>
    <t>1202206</t>
  </si>
  <si>
    <t>1202207</t>
  </si>
  <si>
    <t>1202208</t>
  </si>
  <si>
    <t>1202209</t>
  </si>
  <si>
    <t>1202301</t>
    <phoneticPr fontId="1" type="noConversion"/>
  </si>
  <si>
    <t>1202302</t>
  </si>
  <si>
    <t>1202303</t>
  </si>
  <si>
    <t>1202304</t>
  </si>
  <si>
    <t>1202305</t>
  </si>
  <si>
    <t>1202306</t>
  </si>
  <si>
    <t>1202307</t>
  </si>
  <si>
    <t>1202308</t>
  </si>
  <si>
    <t>1202309</t>
  </si>
  <si>
    <t>1202310</t>
  </si>
  <si>
    <t>1202311</t>
  </si>
  <si>
    <t>1202312</t>
  </si>
  <si>
    <t>1202313</t>
  </si>
  <si>
    <t>1202314</t>
  </si>
  <si>
    <t>1202315</t>
  </si>
  <si>
    <t>1202316</t>
  </si>
  <si>
    <t>1202317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</si>
</sst>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34"/>
      <color theme="1"/>
      <name val="华文细黑"/>
      <family val="3"/>
      <charset val="134"/>
    </font>
    <font>
      <b/>
      <sz val="14"/>
      <color theme="1"/>
      <name val="华文细黑"/>
      <family val="3"/>
      <charset val="134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trike/>
      <sz val="11"/>
      <color theme="1"/>
      <name val="宋体"/>
      <family val="2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1" fillId="0" borderId="0">
      <alignment vertical="center"/>
    </xf>
  </cellStyleXfs>
  <cellXfs count="150"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4" fontId="7" fillId="2" borderId="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9" fontId="0" fillId="8" borderId="1" xfId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7" borderId="0" xfId="0" applyFont="1" applyFill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8" fillId="5" borderId="22" xfId="0" applyFont="1" applyFill="1" applyBorder="1" applyAlignment="1">
      <alignment vertical="center"/>
    </xf>
    <xf numFmtId="0" fontId="10" fillId="5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vertical="center" wrapText="1"/>
    </xf>
    <xf numFmtId="0" fontId="8" fillId="5" borderId="22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12" fillId="4" borderId="1" xfId="0" applyFont="1" applyFill="1" applyBorder="1" applyAlignment="1">
      <alignment vertical="center"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8" fillId="9" borderId="22" xfId="0" applyFont="1" applyFill="1" applyBorder="1" applyAlignment="1">
      <alignment vertical="center" wrapText="1"/>
    </xf>
    <xf numFmtId="0" fontId="0" fillId="2" borderId="22" xfId="0" applyFill="1" applyBorder="1" applyAlignment="1">
      <alignment vertical="top"/>
    </xf>
    <xf numFmtId="0" fontId="0" fillId="4" borderId="1" xfId="0" applyFill="1" applyBorder="1" applyAlignment="1">
      <alignment vertical="center" wrapText="1"/>
    </xf>
    <xf numFmtId="49" fontId="0" fillId="0" borderId="0" xfId="0" applyNumberFormat="1" applyAlignment="1"/>
    <xf numFmtId="0" fontId="0" fillId="0" borderId="0" xfId="0" applyAlignment="1">
      <alignment wrapText="1"/>
    </xf>
    <xf numFmtId="0" fontId="13" fillId="0" borderId="22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0" fillId="5" borderId="2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9" fillId="3" borderId="37" xfId="0" applyFont="1" applyFill="1" applyBorder="1" applyAlignment="1">
      <alignment horizontal="center" vertical="center"/>
    </xf>
    <xf numFmtId="49" fontId="9" fillId="3" borderId="37" xfId="0" applyNumberFormat="1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 wrapText="1"/>
    </xf>
    <xf numFmtId="0" fontId="0" fillId="0" borderId="37" xfId="0" applyBorder="1" applyAlignment="1">
      <alignment vertical="center"/>
    </xf>
    <xf numFmtId="0" fontId="8" fillId="0" borderId="37" xfId="0" applyFont="1" applyBorder="1" applyAlignment="1">
      <alignment vertical="center"/>
    </xf>
    <xf numFmtId="49" fontId="0" fillId="0" borderId="37" xfId="0" applyNumberFormat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 applyAlignment="1"/>
    <xf numFmtId="49" fontId="0" fillId="0" borderId="37" xfId="0" applyNumberFormat="1" applyBorder="1" applyAlignment="1"/>
    <xf numFmtId="0" fontId="0" fillId="0" borderId="37" xfId="0" applyBorder="1" applyAlignment="1">
      <alignment wrapText="1"/>
    </xf>
    <xf numFmtId="0" fontId="7" fillId="2" borderId="22" xfId="0" applyFont="1" applyFill="1" applyBorder="1" applyAlignment="1">
      <alignment horizontal="left" vertical="center"/>
    </xf>
    <xf numFmtId="0" fontId="0" fillId="0" borderId="9" xfId="0" applyBorder="1" applyAlignment="1"/>
    <xf numFmtId="0" fontId="0" fillId="0" borderId="10" xfId="0" applyBorder="1" applyAlignment="1"/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Border="1" applyAlignment="1"/>
    <xf numFmtId="0" fontId="6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14" fontId="4" fillId="2" borderId="7" xfId="0" applyNumberFormat="1" applyFont="1" applyFill="1" applyBorder="1" applyAlignment="1">
      <alignment horizontal="center" vertical="center"/>
    </xf>
    <xf numFmtId="0" fontId="0" fillId="2" borderId="33" xfId="0" applyFill="1" applyBorder="1" applyAlignment="1">
      <alignment horizontal="left" vertical="top"/>
    </xf>
    <xf numFmtId="0" fontId="0" fillId="0" borderId="34" xfId="0" applyBorder="1" applyAlignment="1"/>
    <xf numFmtId="0" fontId="0" fillId="2" borderId="22" xfId="0" applyFill="1" applyBorder="1" applyAlignment="1">
      <alignment vertical="center"/>
    </xf>
    <xf numFmtId="0" fontId="0" fillId="0" borderId="27" xfId="0" applyBorder="1" applyAlignment="1"/>
    <xf numFmtId="0" fontId="0" fillId="0" borderId="28" xfId="0" applyBorder="1" applyAlignment="1"/>
    <xf numFmtId="0" fontId="0" fillId="2" borderId="22" xfId="0" applyFill="1" applyBorder="1" applyAlignment="1">
      <alignment horizontal="center" vertical="top"/>
    </xf>
    <xf numFmtId="0" fontId="0" fillId="0" borderId="32" xfId="0" applyBorder="1" applyAlignment="1"/>
    <xf numFmtId="0" fontId="0" fillId="0" borderId="23" xfId="0" applyBorder="1" applyAlignment="1"/>
    <xf numFmtId="0" fontId="0" fillId="0" borderId="26" xfId="0" applyBorder="1" applyAlignment="1"/>
    <xf numFmtId="0" fontId="0" fillId="0" borderId="0" xfId="0" applyAlignment="1">
      <alignment vertical="center"/>
    </xf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22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9" fillId="6" borderId="1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0" fillId="0" borderId="36" xfId="0" applyBorder="1" applyAlignment="1"/>
    <xf numFmtId="0" fontId="8" fillId="0" borderId="1" xfId="0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17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1" xfId="0" applyBorder="1" applyAlignment="1">
      <alignment horizontal="center" vertical="center"/>
    </xf>
    <xf numFmtId="0" fontId="10" fillId="0" borderId="22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136525</xdr:colOff>
      <xdr:row>18</xdr:row>
      <xdr:rowOff>165101</xdr:rowOff>
    </xdr:from>
    <xdr:to>
      <xdr:col>4</xdr:col>
      <xdr:colOff>927100</xdr:colOff>
      <xdr:row>18</xdr:row>
      <xdr:rowOff>4730052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138" y="19767551"/>
          <a:ext cx="5694362" cy="456495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35"/>
  <sheetViews>
    <sheetView workbookViewId="0">
      <selection activeCell="E46" sqref="E46"/>
    </sheetView>
  </sheetViews>
  <sheetFormatPr defaultColWidth="9" defaultRowHeight="14" x14ac:dyDescent="0.25"/>
  <cols>
    <col min="1" max="1" width="2.36328125" style="59" customWidth="1"/>
    <col min="2" max="2" width="9" style="59" customWidth="1"/>
    <col min="3" max="3" width="11.90625" style="59" customWidth="1"/>
    <col min="4" max="6" width="9" style="59" customWidth="1"/>
    <col min="7" max="7" width="13.26953125" style="59" customWidth="1"/>
    <col min="8" max="15" width="9" style="59" customWidth="1"/>
    <col min="16" max="16384" width="9" style="59"/>
  </cols>
  <sheetData>
    <row r="1" spans="2:10" ht="14.5" customHeight="1" thickBot="1" x14ac:dyDescent="0.3"/>
    <row r="2" spans="2:10" ht="14.5" customHeight="1" thickTop="1" x14ac:dyDescent="0.25">
      <c r="B2" s="1"/>
      <c r="C2" s="2"/>
      <c r="D2" s="2"/>
      <c r="E2" s="2"/>
      <c r="F2" s="2"/>
      <c r="G2" s="2"/>
      <c r="H2" s="2"/>
      <c r="I2" s="2"/>
      <c r="J2" s="3"/>
    </row>
    <row r="3" spans="2:10" x14ac:dyDescent="0.25">
      <c r="B3" s="4"/>
      <c r="J3" s="5"/>
    </row>
    <row r="4" spans="2:10" ht="13.5" customHeight="1" x14ac:dyDescent="0.25">
      <c r="B4" s="4"/>
      <c r="C4" s="85" t="s">
        <v>0</v>
      </c>
      <c r="D4" s="86"/>
      <c r="E4" s="86"/>
      <c r="F4" s="86"/>
      <c r="G4" s="86"/>
      <c r="H4" s="86"/>
      <c r="I4" s="86"/>
      <c r="J4" s="5"/>
    </row>
    <row r="5" spans="2:10" ht="13.5" customHeight="1" x14ac:dyDescent="0.25">
      <c r="B5" s="4"/>
      <c r="C5" s="86"/>
      <c r="D5" s="86"/>
      <c r="E5" s="86"/>
      <c r="F5" s="86"/>
      <c r="G5" s="86"/>
      <c r="H5" s="86"/>
      <c r="I5" s="86"/>
      <c r="J5" s="5"/>
    </row>
    <row r="6" spans="2:10" ht="13.5" customHeight="1" x14ac:dyDescent="0.25">
      <c r="B6" s="4"/>
      <c r="C6" s="86"/>
      <c r="D6" s="86"/>
      <c r="E6" s="86"/>
      <c r="F6" s="86"/>
      <c r="G6" s="86"/>
      <c r="H6" s="86"/>
      <c r="I6" s="86"/>
      <c r="J6" s="5"/>
    </row>
    <row r="7" spans="2:10" ht="13.5" customHeight="1" x14ac:dyDescent="0.25">
      <c r="B7" s="4"/>
      <c r="C7" s="86"/>
      <c r="D7" s="86"/>
      <c r="E7" s="86"/>
      <c r="F7" s="86"/>
      <c r="G7" s="86"/>
      <c r="H7" s="86"/>
      <c r="I7" s="86"/>
      <c r="J7" s="5"/>
    </row>
    <row r="8" spans="2:10" ht="13.5" customHeight="1" x14ac:dyDescent="0.25">
      <c r="B8" s="4"/>
      <c r="C8" s="86"/>
      <c r="D8" s="86"/>
      <c r="E8" s="86"/>
      <c r="F8" s="86"/>
      <c r="G8" s="86"/>
      <c r="H8" s="86"/>
      <c r="I8" s="86"/>
      <c r="J8" s="5"/>
    </row>
    <row r="9" spans="2:10" ht="13.5" customHeight="1" x14ac:dyDescent="0.25">
      <c r="B9" s="4"/>
      <c r="C9" s="86"/>
      <c r="D9" s="86"/>
      <c r="E9" s="86"/>
      <c r="F9" s="86"/>
      <c r="G9" s="86"/>
      <c r="H9" s="86"/>
      <c r="I9" s="86"/>
      <c r="J9" s="5"/>
    </row>
    <row r="10" spans="2:10" ht="13.5" customHeight="1" x14ac:dyDescent="0.25">
      <c r="B10" s="4"/>
      <c r="C10" s="86"/>
      <c r="D10" s="86"/>
      <c r="E10" s="86"/>
      <c r="F10" s="86"/>
      <c r="G10" s="86"/>
      <c r="H10" s="86"/>
      <c r="I10" s="86"/>
      <c r="J10" s="5"/>
    </row>
    <row r="11" spans="2:10" ht="13.5" customHeight="1" x14ac:dyDescent="0.25">
      <c r="B11" s="4"/>
      <c r="C11" s="86"/>
      <c r="D11" s="86"/>
      <c r="E11" s="86"/>
      <c r="F11" s="86"/>
      <c r="G11" s="86"/>
      <c r="H11" s="86"/>
      <c r="I11" s="86"/>
      <c r="J11" s="5"/>
    </row>
    <row r="12" spans="2:10" x14ac:dyDescent="0.25">
      <c r="B12" s="4"/>
      <c r="J12" s="5"/>
    </row>
    <row r="13" spans="2:10" x14ac:dyDescent="0.25">
      <c r="B13" s="4"/>
      <c r="J13" s="5"/>
    </row>
    <row r="14" spans="2:10" x14ac:dyDescent="0.25">
      <c r="B14" s="4"/>
      <c r="J14" s="5"/>
    </row>
    <row r="15" spans="2:10" ht="20.5" customHeight="1" x14ac:dyDescent="0.25">
      <c r="B15" s="4"/>
      <c r="C15" s="6" t="s">
        <v>1</v>
      </c>
      <c r="D15" s="87" t="s">
        <v>2</v>
      </c>
      <c r="E15" s="88"/>
      <c r="F15" s="6" t="s">
        <v>3</v>
      </c>
      <c r="G15" s="93">
        <v>44515</v>
      </c>
      <c r="H15" s="88"/>
      <c r="J15" s="5"/>
    </row>
    <row r="16" spans="2:10" ht="17.5" customHeight="1" x14ac:dyDescent="0.25">
      <c r="B16" s="4"/>
      <c r="C16" s="8"/>
      <c r="D16" s="10"/>
      <c r="E16" s="10"/>
      <c r="F16" s="9"/>
      <c r="G16" s="10"/>
      <c r="H16" s="10"/>
      <c r="J16" s="5"/>
    </row>
    <row r="17" spans="2:10" ht="20.5" customHeight="1" x14ac:dyDescent="0.25">
      <c r="B17" s="4"/>
      <c r="C17" s="6" t="s">
        <v>4</v>
      </c>
      <c r="D17" s="87"/>
      <c r="E17" s="88"/>
      <c r="F17" s="6" t="s">
        <v>3</v>
      </c>
      <c r="G17" s="93" t="s">
        <v>5</v>
      </c>
      <c r="H17" s="88"/>
      <c r="J17" s="5"/>
    </row>
    <row r="18" spans="2:10" ht="17.5" customHeight="1" x14ac:dyDescent="0.25">
      <c r="B18" s="4"/>
      <c r="C18" s="8"/>
      <c r="D18" s="10"/>
      <c r="E18" s="10"/>
      <c r="F18" s="9"/>
      <c r="G18" s="10"/>
      <c r="H18" s="10"/>
      <c r="J18" s="5"/>
    </row>
    <row r="19" spans="2:10" ht="20.5" customHeight="1" x14ac:dyDescent="0.25">
      <c r="B19" s="4"/>
      <c r="C19" s="6" t="s">
        <v>6</v>
      </c>
      <c r="D19" s="7"/>
      <c r="E19" s="7"/>
      <c r="F19" s="6" t="s">
        <v>3</v>
      </c>
      <c r="G19" s="7"/>
      <c r="H19" s="7"/>
      <c r="J19" s="5"/>
    </row>
    <row r="20" spans="2:10" x14ac:dyDescent="0.25">
      <c r="B20" s="4"/>
      <c r="J20" s="5"/>
    </row>
    <row r="21" spans="2:10" x14ac:dyDescent="0.25">
      <c r="B21" s="4"/>
      <c r="J21" s="5"/>
    </row>
    <row r="22" spans="2:10" x14ac:dyDescent="0.25">
      <c r="B22" s="4"/>
      <c r="J22" s="5"/>
    </row>
    <row r="23" spans="2:10" ht="24" customHeight="1" x14ac:dyDescent="0.25">
      <c r="B23" s="4"/>
      <c r="E23" s="89" t="s">
        <v>7</v>
      </c>
      <c r="F23" s="86"/>
      <c r="J23" s="5"/>
    </row>
    <row r="24" spans="2:10" x14ac:dyDescent="0.25">
      <c r="B24" s="4"/>
      <c r="J24" s="5"/>
    </row>
    <row r="25" spans="2:10" ht="17" customHeight="1" x14ac:dyDescent="0.25">
      <c r="B25" s="4"/>
      <c r="C25" s="60" t="s">
        <v>3</v>
      </c>
      <c r="D25" s="60" t="s">
        <v>8</v>
      </c>
      <c r="E25" s="90" t="s">
        <v>9</v>
      </c>
      <c r="F25" s="91"/>
      <c r="G25" s="91"/>
      <c r="H25" s="92"/>
      <c r="I25" s="60" t="s">
        <v>10</v>
      </c>
      <c r="J25" s="5"/>
    </row>
    <row r="26" spans="2:10" ht="17" customHeight="1" x14ac:dyDescent="0.25">
      <c r="B26" s="4"/>
      <c r="C26" s="11">
        <v>44515</v>
      </c>
      <c r="D26" s="60" t="s">
        <v>11</v>
      </c>
      <c r="E26" s="82" t="s">
        <v>12</v>
      </c>
      <c r="F26" s="83"/>
      <c r="G26" s="83"/>
      <c r="H26" s="84"/>
      <c r="I26" s="60" t="s">
        <v>2</v>
      </c>
      <c r="J26" s="5"/>
    </row>
    <row r="27" spans="2:10" ht="17" customHeight="1" x14ac:dyDescent="0.25">
      <c r="B27" s="4"/>
      <c r="C27" s="11"/>
      <c r="D27" s="60"/>
      <c r="E27" s="82"/>
      <c r="F27" s="83"/>
      <c r="G27" s="83"/>
      <c r="H27" s="84"/>
      <c r="I27" s="60"/>
      <c r="J27" s="5"/>
    </row>
    <row r="28" spans="2:10" ht="17" customHeight="1" x14ac:dyDescent="0.25">
      <c r="B28" s="4"/>
      <c r="C28" s="60"/>
      <c r="D28" s="60"/>
      <c r="E28" s="82"/>
      <c r="F28" s="83"/>
      <c r="G28" s="83"/>
      <c r="H28" s="84"/>
      <c r="I28" s="60"/>
      <c r="J28" s="5"/>
    </row>
    <row r="29" spans="2:10" ht="17" customHeight="1" x14ac:dyDescent="0.25">
      <c r="B29" s="4"/>
      <c r="C29" s="60"/>
      <c r="D29" s="60"/>
      <c r="E29" s="82"/>
      <c r="F29" s="83"/>
      <c r="G29" s="83"/>
      <c r="H29" s="84"/>
      <c r="I29" s="60"/>
      <c r="J29" s="5"/>
    </row>
    <row r="30" spans="2:10" ht="17" customHeight="1" x14ac:dyDescent="0.25">
      <c r="B30" s="4"/>
      <c r="C30" s="60"/>
      <c r="D30" s="60"/>
      <c r="E30" s="82"/>
      <c r="F30" s="83"/>
      <c r="G30" s="83"/>
      <c r="H30" s="84"/>
      <c r="I30" s="60"/>
      <c r="J30" s="5"/>
    </row>
    <row r="31" spans="2:10" ht="17" customHeight="1" x14ac:dyDescent="0.25">
      <c r="B31" s="4"/>
      <c r="C31" s="60"/>
      <c r="D31" s="60"/>
      <c r="E31" s="82"/>
      <c r="F31" s="83"/>
      <c r="G31" s="83"/>
      <c r="H31" s="84"/>
      <c r="I31" s="60"/>
      <c r="J31" s="5"/>
    </row>
    <row r="32" spans="2:10" x14ac:dyDescent="0.25">
      <c r="B32" s="4"/>
      <c r="J32" s="5"/>
    </row>
    <row r="33" spans="2:10" x14ac:dyDescent="0.25">
      <c r="B33" s="4"/>
      <c r="J33" s="5"/>
    </row>
    <row r="34" spans="2:10" ht="14.5" customHeight="1" thickBot="1" x14ac:dyDescent="0.3">
      <c r="B34" s="12"/>
      <c r="C34" s="13"/>
      <c r="D34" s="13"/>
      <c r="E34" s="13"/>
      <c r="F34" s="13"/>
      <c r="G34" s="13"/>
      <c r="H34" s="13"/>
      <c r="I34" s="13"/>
      <c r="J34" s="14"/>
    </row>
    <row r="35" spans="2:10" ht="14.5" customHeight="1" thickTop="1" x14ac:dyDescent="0.25"/>
  </sheetData>
  <mergeCells count="13">
    <mergeCell ref="E29:H29"/>
    <mergeCell ref="E30:H30"/>
    <mergeCell ref="E31:H31"/>
    <mergeCell ref="C4:I11"/>
    <mergeCell ref="D15:E15"/>
    <mergeCell ref="D17:E17"/>
    <mergeCell ref="E27:H27"/>
    <mergeCell ref="E28:H28"/>
    <mergeCell ref="E23:F23"/>
    <mergeCell ref="E25:H25"/>
    <mergeCell ref="E26:H26"/>
    <mergeCell ref="G15:H15"/>
    <mergeCell ref="G17:H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43"/>
  <sheetViews>
    <sheetView workbookViewId="0">
      <selection activeCell="B3" sqref="B3"/>
    </sheetView>
  </sheetViews>
  <sheetFormatPr defaultColWidth="9" defaultRowHeight="14" x14ac:dyDescent="0.25"/>
  <cols>
    <col min="1" max="1" width="10" style="61" customWidth="1"/>
    <col min="2" max="2" width="22.36328125" style="61" customWidth="1"/>
    <col min="3" max="3" width="40" style="61" customWidth="1"/>
    <col min="4" max="4" width="19.7265625" style="61" customWidth="1"/>
    <col min="5" max="5" width="10.453125" style="61" bestFit="1" customWidth="1"/>
    <col min="6" max="6" width="16.36328125" style="32" customWidth="1"/>
    <col min="7" max="7" width="53.90625" style="61" customWidth="1"/>
    <col min="8" max="9" width="9" style="61" customWidth="1"/>
    <col min="10" max="10" width="11.6328125" style="61" bestFit="1" customWidth="1"/>
    <col min="11" max="18" width="9" style="61" customWidth="1"/>
    <col min="19" max="16384" width="9" style="61"/>
  </cols>
  <sheetData>
    <row r="1" spans="1:7" ht="27.75" customHeight="1" x14ac:dyDescent="0.25">
      <c r="A1" s="22" t="s">
        <v>13</v>
      </c>
      <c r="B1" s="22" t="s">
        <v>14</v>
      </c>
      <c r="C1" s="22" t="s">
        <v>15</v>
      </c>
      <c r="D1" s="22" t="s">
        <v>16</v>
      </c>
      <c r="E1" s="22" t="s">
        <v>17</v>
      </c>
      <c r="F1" s="22" t="s">
        <v>18</v>
      </c>
      <c r="G1" s="22" t="s">
        <v>19</v>
      </c>
    </row>
    <row r="2" spans="1:7" x14ac:dyDescent="0.25">
      <c r="A2" s="44" t="s">
        <v>20</v>
      </c>
      <c r="B2" s="44"/>
      <c r="C2" s="44"/>
      <c r="D2" s="44"/>
      <c r="E2" s="44"/>
      <c r="F2" s="46"/>
      <c r="G2" s="36"/>
    </row>
    <row r="3" spans="1:7" x14ac:dyDescent="0.25">
      <c r="A3" s="44"/>
      <c r="B3" s="44" t="s">
        <v>21</v>
      </c>
      <c r="C3" s="44"/>
      <c r="D3" s="44"/>
      <c r="E3" s="44"/>
      <c r="F3" s="46"/>
      <c r="G3" s="36"/>
    </row>
    <row r="4" spans="1:7" x14ac:dyDescent="0.25">
      <c r="A4" s="44" t="s">
        <v>22</v>
      </c>
      <c r="B4" s="44"/>
      <c r="C4" s="44"/>
      <c r="D4" s="44"/>
      <c r="E4" s="44"/>
      <c r="F4" s="46"/>
      <c r="G4" s="36"/>
    </row>
    <row r="5" spans="1:7" x14ac:dyDescent="0.25">
      <c r="A5" s="44"/>
      <c r="B5" s="44" t="s">
        <v>23</v>
      </c>
      <c r="C5" s="44"/>
      <c r="D5" s="44"/>
      <c r="E5" s="44"/>
      <c r="F5" s="46"/>
      <c r="G5" s="36"/>
    </row>
    <row r="6" spans="1:7" x14ac:dyDescent="0.25">
      <c r="A6" s="44"/>
      <c r="B6" s="44"/>
      <c r="C6" s="44" t="s">
        <v>24</v>
      </c>
      <c r="D6" s="44" t="s">
        <v>25</v>
      </c>
      <c r="E6" s="44"/>
      <c r="F6" s="46">
        <v>5</v>
      </c>
      <c r="G6" s="36" t="s">
        <v>26</v>
      </c>
    </row>
    <row r="7" spans="1:7" ht="70" customHeight="1" x14ac:dyDescent="0.25">
      <c r="A7" s="44"/>
      <c r="B7" s="44"/>
      <c r="C7" s="44" t="s">
        <v>27</v>
      </c>
      <c r="D7" s="44" t="s">
        <v>28</v>
      </c>
      <c r="E7" s="44"/>
      <c r="F7" s="46">
        <v>5</v>
      </c>
      <c r="G7" s="36" t="s">
        <v>29</v>
      </c>
    </row>
    <row r="8" spans="1:7" ht="28" customHeight="1" x14ac:dyDescent="0.25">
      <c r="A8" s="44"/>
      <c r="B8" s="44"/>
      <c r="C8" s="44" t="s">
        <v>30</v>
      </c>
      <c r="D8" s="44" t="s">
        <v>31</v>
      </c>
      <c r="E8" s="44"/>
      <c r="F8" s="46">
        <v>2</v>
      </c>
      <c r="G8" s="36" t="s">
        <v>32</v>
      </c>
    </row>
    <row r="9" spans="1:7" ht="28" customHeight="1" x14ac:dyDescent="0.25">
      <c r="A9" s="44"/>
      <c r="B9" s="44"/>
      <c r="C9" s="44" t="s">
        <v>33</v>
      </c>
      <c r="D9" s="44" t="s">
        <v>31</v>
      </c>
      <c r="E9" s="44"/>
      <c r="F9" s="46">
        <v>1</v>
      </c>
      <c r="G9" s="36" t="s">
        <v>34</v>
      </c>
    </row>
    <row r="10" spans="1:7" x14ac:dyDescent="0.25">
      <c r="A10" s="44"/>
      <c r="B10" s="44"/>
      <c r="C10" s="44" t="s">
        <v>35</v>
      </c>
      <c r="D10" s="44" t="s">
        <v>31</v>
      </c>
      <c r="E10" s="44"/>
      <c r="F10" s="46">
        <v>3</v>
      </c>
      <c r="G10" s="36" t="s">
        <v>36</v>
      </c>
    </row>
    <row r="11" spans="1:7" ht="28" customHeight="1" x14ac:dyDescent="0.25">
      <c r="A11" s="44"/>
      <c r="B11" s="44"/>
      <c r="C11" s="44" t="s">
        <v>37</v>
      </c>
      <c r="D11" s="44" t="s">
        <v>31</v>
      </c>
      <c r="E11" s="44"/>
      <c r="F11" s="46">
        <v>1</v>
      </c>
      <c r="G11" s="36" t="s">
        <v>38</v>
      </c>
    </row>
    <row r="12" spans="1:7" ht="28" customHeight="1" x14ac:dyDescent="0.25">
      <c r="A12" s="44"/>
      <c r="B12" s="44"/>
      <c r="C12" s="44" t="s">
        <v>39</v>
      </c>
      <c r="D12" s="44" t="s">
        <v>31</v>
      </c>
      <c r="E12" s="44"/>
      <c r="F12" s="46">
        <v>1</v>
      </c>
      <c r="G12" s="36" t="s">
        <v>40</v>
      </c>
    </row>
    <row r="13" spans="1:7" x14ac:dyDescent="0.25">
      <c r="A13" s="44"/>
      <c r="B13" s="44"/>
      <c r="C13" s="44" t="s">
        <v>41</v>
      </c>
      <c r="D13" s="44" t="s">
        <v>31</v>
      </c>
      <c r="E13" s="44"/>
      <c r="F13" s="46">
        <v>1</v>
      </c>
      <c r="G13" s="36" t="s">
        <v>42</v>
      </c>
    </row>
    <row r="14" spans="1:7" x14ac:dyDescent="0.25">
      <c r="A14" s="44"/>
      <c r="B14" s="44"/>
      <c r="C14" s="44" t="s">
        <v>43</v>
      </c>
      <c r="D14" s="44" t="s">
        <v>31</v>
      </c>
      <c r="E14" s="44"/>
      <c r="F14" s="46">
        <v>1</v>
      </c>
      <c r="G14" s="36" t="s">
        <v>44</v>
      </c>
    </row>
    <row r="15" spans="1:7" x14ac:dyDescent="0.25">
      <c r="A15" s="44"/>
      <c r="B15" s="44"/>
      <c r="C15" s="44" t="s">
        <v>45</v>
      </c>
      <c r="D15" s="44" t="s">
        <v>31</v>
      </c>
      <c r="E15" s="44"/>
      <c r="F15" s="46">
        <v>1</v>
      </c>
      <c r="G15" s="36" t="s">
        <v>46</v>
      </c>
    </row>
    <row r="16" spans="1:7" x14ac:dyDescent="0.25">
      <c r="A16" s="44"/>
      <c r="B16" s="44" t="s">
        <v>47</v>
      </c>
      <c r="C16" s="44"/>
      <c r="D16" s="44"/>
      <c r="E16" s="44"/>
      <c r="F16" s="46"/>
      <c r="G16" s="36"/>
    </row>
    <row r="17" spans="1:7" ht="28" customHeight="1" x14ac:dyDescent="0.25">
      <c r="A17" s="44"/>
      <c r="B17" s="44"/>
      <c r="C17" s="44" t="s">
        <v>48</v>
      </c>
      <c r="D17" s="44" t="s">
        <v>25</v>
      </c>
      <c r="E17" s="44"/>
      <c r="F17" s="46">
        <v>2</v>
      </c>
      <c r="G17" s="36" t="s">
        <v>49</v>
      </c>
    </row>
    <row r="18" spans="1:7" x14ac:dyDescent="0.25">
      <c r="A18" s="44"/>
      <c r="B18" s="44"/>
      <c r="C18" s="44" t="s">
        <v>37</v>
      </c>
      <c r="D18" s="44" t="s">
        <v>31</v>
      </c>
      <c r="E18" s="44"/>
      <c r="F18" s="46">
        <v>1</v>
      </c>
      <c r="G18" s="36" t="s">
        <v>50</v>
      </c>
    </row>
    <row r="19" spans="1:7" x14ac:dyDescent="0.25">
      <c r="A19" s="44"/>
      <c r="B19" s="44"/>
      <c r="C19" s="44" t="s">
        <v>30</v>
      </c>
      <c r="D19" s="44" t="s">
        <v>31</v>
      </c>
      <c r="E19" s="44"/>
      <c r="F19" s="46">
        <v>2</v>
      </c>
      <c r="G19" s="36" t="s">
        <v>51</v>
      </c>
    </row>
    <row r="20" spans="1:7" x14ac:dyDescent="0.25">
      <c r="A20" s="44"/>
      <c r="B20" s="44"/>
      <c r="C20" s="44" t="s">
        <v>52</v>
      </c>
      <c r="D20" s="44" t="s">
        <v>31</v>
      </c>
      <c r="E20" s="44"/>
      <c r="F20" s="46">
        <v>1</v>
      </c>
      <c r="G20" s="36" t="s">
        <v>53</v>
      </c>
    </row>
    <row r="21" spans="1:7" x14ac:dyDescent="0.25">
      <c r="A21" s="44" t="s">
        <v>54</v>
      </c>
      <c r="B21" s="44"/>
      <c r="C21" s="44"/>
      <c r="D21" s="44"/>
      <c r="E21" s="44"/>
      <c r="F21" s="46"/>
      <c r="G21" s="36"/>
    </row>
    <row r="22" spans="1:7" x14ac:dyDescent="0.25">
      <c r="A22" s="44"/>
      <c r="B22" s="44" t="s">
        <v>55</v>
      </c>
      <c r="C22" s="44"/>
      <c r="D22" s="44"/>
      <c r="E22" s="44"/>
      <c r="F22" s="46"/>
      <c r="G22" s="36"/>
    </row>
    <row r="23" spans="1:7" ht="56" customHeight="1" x14ac:dyDescent="0.25">
      <c r="A23" s="44"/>
      <c r="B23" s="44"/>
      <c r="C23" s="44" t="s">
        <v>55</v>
      </c>
      <c r="D23" s="44" t="s">
        <v>25</v>
      </c>
      <c r="E23" s="44"/>
      <c r="F23" s="46">
        <v>5</v>
      </c>
      <c r="G23" s="36" t="s">
        <v>56</v>
      </c>
    </row>
    <row r="24" spans="1:7" ht="28" customHeight="1" x14ac:dyDescent="0.25">
      <c r="A24" s="44"/>
      <c r="B24" s="44"/>
      <c r="C24" s="44" t="s">
        <v>57</v>
      </c>
      <c r="D24" s="44" t="s">
        <v>31</v>
      </c>
      <c r="E24" s="44"/>
      <c r="F24" s="46">
        <v>2</v>
      </c>
      <c r="G24" s="36" t="s">
        <v>58</v>
      </c>
    </row>
    <row r="25" spans="1:7" x14ac:dyDescent="0.25">
      <c r="A25" s="44"/>
      <c r="B25" s="44"/>
      <c r="C25" s="44" t="s">
        <v>59</v>
      </c>
      <c r="D25" s="44" t="s">
        <v>31</v>
      </c>
      <c r="E25" s="44"/>
      <c r="F25" s="46">
        <v>1</v>
      </c>
      <c r="G25" s="36" t="s">
        <v>60</v>
      </c>
    </row>
    <row r="26" spans="1:7" x14ac:dyDescent="0.25">
      <c r="A26" s="44"/>
      <c r="B26" s="44"/>
      <c r="C26" s="44" t="s">
        <v>61</v>
      </c>
      <c r="D26" s="44" t="s">
        <v>31</v>
      </c>
      <c r="E26" s="44"/>
      <c r="F26" s="46">
        <v>2</v>
      </c>
      <c r="G26" s="36" t="s">
        <v>62</v>
      </c>
    </row>
    <row r="27" spans="1:7" ht="28" customHeight="1" x14ac:dyDescent="0.25">
      <c r="A27" s="44"/>
      <c r="B27" s="44"/>
      <c r="C27" s="44" t="s">
        <v>63</v>
      </c>
      <c r="D27" s="44" t="s">
        <v>31</v>
      </c>
      <c r="E27" s="44"/>
      <c r="F27" s="46">
        <v>3</v>
      </c>
      <c r="G27" s="36" t="s">
        <v>64</v>
      </c>
    </row>
    <row r="28" spans="1:7" ht="28" customHeight="1" x14ac:dyDescent="0.25">
      <c r="A28" s="44"/>
      <c r="B28" s="44"/>
      <c r="C28" s="44" t="s">
        <v>65</v>
      </c>
      <c r="D28" s="44" t="s">
        <v>31</v>
      </c>
      <c r="E28" s="44"/>
      <c r="F28" s="46">
        <v>8</v>
      </c>
      <c r="G28" s="36" t="s">
        <v>66</v>
      </c>
    </row>
    <row r="29" spans="1:7" x14ac:dyDescent="0.25">
      <c r="A29" s="44"/>
      <c r="B29" s="44"/>
      <c r="C29" s="44" t="s">
        <v>67</v>
      </c>
      <c r="D29" s="44" t="s">
        <v>31</v>
      </c>
      <c r="E29" s="44"/>
      <c r="F29" s="46">
        <v>1</v>
      </c>
      <c r="G29" s="36" t="s">
        <v>68</v>
      </c>
    </row>
    <row r="30" spans="1:7" x14ac:dyDescent="0.25">
      <c r="A30" s="44"/>
      <c r="B30" s="44"/>
      <c r="C30" s="44" t="s">
        <v>69</v>
      </c>
      <c r="D30" s="44" t="s">
        <v>31</v>
      </c>
      <c r="E30" s="44"/>
      <c r="F30" s="46">
        <v>3</v>
      </c>
      <c r="G30" s="36" t="s">
        <v>70</v>
      </c>
    </row>
    <row r="31" spans="1:7" x14ac:dyDescent="0.25">
      <c r="A31" s="44"/>
      <c r="B31" s="44"/>
      <c r="C31" s="44" t="s">
        <v>71</v>
      </c>
      <c r="D31" s="44" t="s">
        <v>31</v>
      </c>
      <c r="E31" s="44"/>
      <c r="F31" s="46">
        <v>1</v>
      </c>
      <c r="G31" s="36" t="s">
        <v>72</v>
      </c>
    </row>
    <row r="32" spans="1:7" x14ac:dyDescent="0.25">
      <c r="A32" s="44"/>
      <c r="B32" s="44"/>
      <c r="C32" s="44" t="s">
        <v>37</v>
      </c>
      <c r="D32" s="44" t="s">
        <v>31</v>
      </c>
      <c r="E32" s="44"/>
      <c r="F32" s="46">
        <v>1</v>
      </c>
      <c r="G32" s="36" t="s">
        <v>73</v>
      </c>
    </row>
    <row r="33" spans="1:7" x14ac:dyDescent="0.25">
      <c r="A33" s="44"/>
      <c r="B33" s="44" t="s">
        <v>74</v>
      </c>
      <c r="C33" s="44"/>
      <c r="D33" s="44"/>
      <c r="E33" s="44"/>
      <c r="F33" s="46"/>
      <c r="G33" s="36"/>
    </row>
    <row r="34" spans="1:7" ht="28" customHeight="1" x14ac:dyDescent="0.25">
      <c r="A34" s="44"/>
      <c r="B34" s="44"/>
      <c r="C34" s="44" t="s">
        <v>75</v>
      </c>
      <c r="D34" s="44" t="s">
        <v>31</v>
      </c>
      <c r="E34" s="44"/>
      <c r="F34" s="46">
        <v>3</v>
      </c>
      <c r="G34" s="36" t="s">
        <v>76</v>
      </c>
    </row>
    <row r="35" spans="1:7" x14ac:dyDescent="0.25">
      <c r="A35" s="44"/>
      <c r="B35" s="44"/>
      <c r="C35" s="44" t="s">
        <v>77</v>
      </c>
      <c r="D35" s="44" t="s">
        <v>31</v>
      </c>
      <c r="E35" s="44"/>
      <c r="F35" s="46">
        <v>5</v>
      </c>
      <c r="G35" s="36" t="s">
        <v>78</v>
      </c>
    </row>
    <row r="36" spans="1:7" x14ac:dyDescent="0.25">
      <c r="A36" s="44"/>
      <c r="B36" s="44"/>
      <c r="C36" s="44" t="s">
        <v>79</v>
      </c>
      <c r="D36" s="44" t="s">
        <v>31</v>
      </c>
      <c r="E36" s="44"/>
      <c r="F36" s="46">
        <v>1</v>
      </c>
      <c r="G36" s="36" t="s">
        <v>80</v>
      </c>
    </row>
    <row r="37" spans="1:7" x14ac:dyDescent="0.25">
      <c r="A37" s="44"/>
      <c r="B37" s="44" t="s">
        <v>81</v>
      </c>
      <c r="C37" s="44"/>
      <c r="D37" s="44"/>
      <c r="E37" s="44"/>
      <c r="F37" s="46"/>
      <c r="G37" s="36"/>
    </row>
    <row r="38" spans="1:7" ht="56" customHeight="1" x14ac:dyDescent="0.25">
      <c r="A38" s="44"/>
      <c r="B38" s="44"/>
      <c r="C38" s="44" t="s">
        <v>82</v>
      </c>
      <c r="D38" s="44" t="s">
        <v>25</v>
      </c>
      <c r="E38" s="44"/>
      <c r="F38" s="46">
        <v>5</v>
      </c>
      <c r="G38" s="36" t="s">
        <v>83</v>
      </c>
    </row>
    <row r="39" spans="1:7" x14ac:dyDescent="0.25">
      <c r="A39" s="44"/>
      <c r="B39" s="44"/>
      <c r="C39" s="44" t="s">
        <v>84</v>
      </c>
      <c r="D39" s="44" t="s">
        <v>25</v>
      </c>
      <c r="E39" s="44"/>
      <c r="F39" s="46">
        <v>3</v>
      </c>
      <c r="G39" s="36" t="s">
        <v>85</v>
      </c>
    </row>
    <row r="40" spans="1:7" ht="28" customHeight="1" x14ac:dyDescent="0.25">
      <c r="A40" s="44"/>
      <c r="B40" s="44"/>
      <c r="C40" s="44" t="s">
        <v>86</v>
      </c>
      <c r="D40" s="44" t="s">
        <v>31</v>
      </c>
      <c r="E40" s="44"/>
      <c r="F40" s="46">
        <v>4</v>
      </c>
      <c r="G40" s="36" t="s">
        <v>87</v>
      </c>
    </row>
    <row r="41" spans="1:7" x14ac:dyDescent="0.25">
      <c r="A41" s="44"/>
      <c r="B41" s="44"/>
      <c r="C41" s="44" t="s">
        <v>88</v>
      </c>
      <c r="D41" s="44" t="s">
        <v>25</v>
      </c>
      <c r="E41" s="44"/>
      <c r="F41" s="46">
        <v>3</v>
      </c>
      <c r="G41" s="36" t="s">
        <v>89</v>
      </c>
    </row>
    <row r="42" spans="1:7" ht="28" customHeight="1" x14ac:dyDescent="0.25">
      <c r="A42" s="44"/>
      <c r="B42" s="44"/>
      <c r="C42" s="44" t="s">
        <v>90</v>
      </c>
      <c r="D42" s="44" t="s">
        <v>31</v>
      </c>
      <c r="E42" s="44"/>
      <c r="F42" s="46">
        <v>4</v>
      </c>
      <c r="G42" s="36" t="s">
        <v>91</v>
      </c>
    </row>
    <row r="43" spans="1:7" x14ac:dyDescent="0.25">
      <c r="A43" s="44"/>
      <c r="B43" s="44"/>
      <c r="C43" s="44" t="s">
        <v>92</v>
      </c>
      <c r="D43" s="44" t="s">
        <v>31</v>
      </c>
      <c r="E43" s="44"/>
      <c r="F43" s="46">
        <v>1</v>
      </c>
      <c r="G43" s="36" t="s">
        <v>93</v>
      </c>
    </row>
  </sheetData>
  <phoneticPr fontId="1" type="noConversion"/>
  <dataValidations count="1">
    <dataValidation type="list" allowBlank="1" showInputMessage="1" showErrorMessage="1" sqref="D38:D43 D17:D20 D23:D32 D34:D36 D6:D15">
      <formula1>"流程图,状态机,等价类划分&amp;数据组合,直接分析"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87"/>
  <sheetViews>
    <sheetView topLeftCell="A22" zoomScaleNormal="100" workbookViewId="0">
      <selection activeCell="B67" sqref="B67:N67"/>
    </sheetView>
  </sheetViews>
  <sheetFormatPr defaultRowHeight="14" x14ac:dyDescent="0.25"/>
  <cols>
    <col min="1" max="4" width="8.7265625" style="61" customWidth="1"/>
    <col min="5" max="16384" width="8.7265625" style="61"/>
  </cols>
  <sheetData>
    <row r="1" spans="1:14" x14ac:dyDescent="0.25">
      <c r="A1" s="51" t="s">
        <v>94</v>
      </c>
      <c r="B1" s="94" t="s">
        <v>95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95"/>
    </row>
    <row r="2" spans="1:14" x14ac:dyDescent="0.25">
      <c r="A2" s="96" t="s">
        <v>96</v>
      </c>
      <c r="B2" s="99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</row>
    <row r="3" spans="1:14" x14ac:dyDescent="0.25">
      <c r="A3" s="97"/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4"/>
    </row>
    <row r="4" spans="1:14" x14ac:dyDescent="0.25">
      <c r="A4" s="97"/>
      <c r="B4" s="102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/>
    </row>
    <row r="5" spans="1:14" x14ac:dyDescent="0.25">
      <c r="A5" s="97"/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4"/>
    </row>
    <row r="6" spans="1:14" x14ac:dyDescent="0.25">
      <c r="A6" s="9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4"/>
    </row>
    <row r="7" spans="1:14" x14ac:dyDescent="0.25">
      <c r="A7" s="97"/>
      <c r="B7" s="102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4"/>
    </row>
    <row r="8" spans="1:14" x14ac:dyDescent="0.25">
      <c r="A8" s="97"/>
      <c r="B8" s="102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4"/>
    </row>
    <row r="9" spans="1:14" x14ac:dyDescent="0.25">
      <c r="A9" s="97"/>
      <c r="B9" s="102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4"/>
    </row>
    <row r="10" spans="1:14" x14ac:dyDescent="0.25">
      <c r="A10" s="97"/>
      <c r="B10" s="102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4"/>
    </row>
    <row r="11" spans="1:14" x14ac:dyDescent="0.25">
      <c r="A11" s="97"/>
      <c r="B11" s="102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4"/>
    </row>
    <row r="12" spans="1:14" x14ac:dyDescent="0.25">
      <c r="A12" s="97"/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4"/>
    </row>
    <row r="13" spans="1:14" x14ac:dyDescent="0.25">
      <c r="A13" s="97"/>
      <c r="B13" s="102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4"/>
    </row>
    <row r="14" spans="1:14" x14ac:dyDescent="0.25">
      <c r="A14" s="97"/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x14ac:dyDescent="0.25">
      <c r="A15" s="97"/>
      <c r="B15" s="102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4"/>
    </row>
    <row r="16" spans="1:14" x14ac:dyDescent="0.25">
      <c r="A16" s="97"/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4"/>
    </row>
    <row r="17" spans="1:14" x14ac:dyDescent="0.25">
      <c r="A17" s="97"/>
      <c r="B17" s="102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4"/>
    </row>
    <row r="18" spans="1:14" x14ac:dyDescent="0.25">
      <c r="A18" s="97"/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4"/>
    </row>
    <row r="19" spans="1:14" x14ac:dyDescent="0.25">
      <c r="A19" s="97"/>
      <c r="B19" s="102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4"/>
    </row>
    <row r="20" spans="1:14" x14ac:dyDescent="0.25">
      <c r="A20" s="97"/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4"/>
    </row>
    <row r="21" spans="1:14" x14ac:dyDescent="0.25">
      <c r="A21" s="98"/>
      <c r="B21" s="105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106"/>
    </row>
    <row r="23" spans="1:14" x14ac:dyDescent="0.25">
      <c r="A23" s="51" t="s">
        <v>94</v>
      </c>
      <c r="B23" s="94" t="s">
        <v>97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95"/>
    </row>
    <row r="24" spans="1:14" x14ac:dyDescent="0.25">
      <c r="A24" s="96" t="s">
        <v>96</v>
      </c>
      <c r="B24" s="99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1"/>
    </row>
    <row r="25" spans="1:14" x14ac:dyDescent="0.25">
      <c r="A25" s="97"/>
      <c r="B25" s="102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4"/>
    </row>
    <row r="26" spans="1:14" x14ac:dyDescent="0.25">
      <c r="A26" s="97"/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4"/>
    </row>
    <row r="27" spans="1:14" x14ac:dyDescent="0.25">
      <c r="A27" s="97"/>
      <c r="B27" s="102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4"/>
    </row>
    <row r="28" spans="1:14" x14ac:dyDescent="0.25">
      <c r="A28" s="97"/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4"/>
    </row>
    <row r="29" spans="1:14" x14ac:dyDescent="0.25">
      <c r="A29" s="97"/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4"/>
    </row>
    <row r="30" spans="1:14" x14ac:dyDescent="0.25">
      <c r="A30" s="97"/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4"/>
    </row>
    <row r="31" spans="1:14" x14ac:dyDescent="0.25">
      <c r="A31" s="97"/>
      <c r="B31" s="102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4"/>
    </row>
    <row r="32" spans="1:14" x14ac:dyDescent="0.25">
      <c r="A32" s="97"/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4"/>
    </row>
    <row r="33" spans="1:14" x14ac:dyDescent="0.25">
      <c r="A33" s="97"/>
      <c r="B33" s="102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4"/>
    </row>
    <row r="34" spans="1:14" x14ac:dyDescent="0.25">
      <c r="A34" s="97"/>
      <c r="B34" s="102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4"/>
    </row>
    <row r="35" spans="1:14" x14ac:dyDescent="0.25">
      <c r="A35" s="97"/>
      <c r="B35" s="102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4"/>
    </row>
    <row r="36" spans="1:14" x14ac:dyDescent="0.25">
      <c r="A36" s="97"/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4"/>
    </row>
    <row r="37" spans="1:14" x14ac:dyDescent="0.25">
      <c r="A37" s="97"/>
      <c r="B37" s="102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4"/>
    </row>
    <row r="38" spans="1:14" x14ac:dyDescent="0.25">
      <c r="A38" s="97"/>
      <c r="B38" s="102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4"/>
    </row>
    <row r="39" spans="1:14" x14ac:dyDescent="0.25">
      <c r="A39" s="97"/>
      <c r="B39" s="102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4"/>
    </row>
    <row r="40" spans="1:14" x14ac:dyDescent="0.25">
      <c r="A40" s="97"/>
      <c r="B40" s="102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4"/>
    </row>
    <row r="41" spans="1:14" x14ac:dyDescent="0.25">
      <c r="A41" s="97"/>
      <c r="B41" s="102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4"/>
    </row>
    <row r="42" spans="1:14" x14ac:dyDescent="0.25">
      <c r="A42" s="97"/>
      <c r="B42" s="102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4"/>
    </row>
    <row r="43" spans="1:14" x14ac:dyDescent="0.25">
      <c r="A43" s="98"/>
      <c r="B43" s="105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6"/>
    </row>
    <row r="45" spans="1:14" x14ac:dyDescent="0.25">
      <c r="A45" s="51" t="s">
        <v>94</v>
      </c>
      <c r="B45" s="94" t="s">
        <v>98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95"/>
    </row>
    <row r="46" spans="1:14" x14ac:dyDescent="0.25">
      <c r="A46" s="96" t="s">
        <v>96</v>
      </c>
      <c r="B46" s="99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1"/>
    </row>
    <row r="47" spans="1:14" x14ac:dyDescent="0.25">
      <c r="A47" s="97"/>
      <c r="B47" s="102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4"/>
    </row>
    <row r="48" spans="1:14" x14ac:dyDescent="0.25">
      <c r="A48" s="97"/>
      <c r="B48" s="102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4"/>
    </row>
    <row r="49" spans="1:14" x14ac:dyDescent="0.25">
      <c r="A49" s="97"/>
      <c r="B49" s="102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4"/>
    </row>
    <row r="50" spans="1:14" x14ac:dyDescent="0.25">
      <c r="A50" s="97"/>
      <c r="B50" s="102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4"/>
    </row>
    <row r="51" spans="1:14" x14ac:dyDescent="0.25">
      <c r="A51" s="97"/>
      <c r="B51" s="102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4"/>
    </row>
    <row r="52" spans="1:14" x14ac:dyDescent="0.25">
      <c r="A52" s="97"/>
      <c r="B52" s="102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4"/>
    </row>
    <row r="53" spans="1:14" x14ac:dyDescent="0.25">
      <c r="A53" s="97"/>
      <c r="B53" s="102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4"/>
    </row>
    <row r="54" spans="1:14" x14ac:dyDescent="0.25">
      <c r="A54" s="97"/>
      <c r="B54" s="102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4"/>
    </row>
    <row r="55" spans="1:14" x14ac:dyDescent="0.25">
      <c r="A55" s="97"/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4"/>
    </row>
    <row r="56" spans="1:14" x14ac:dyDescent="0.25">
      <c r="A56" s="97"/>
      <c r="B56" s="102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4"/>
    </row>
    <row r="57" spans="1:14" x14ac:dyDescent="0.25">
      <c r="A57" s="97"/>
      <c r="B57" s="102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4"/>
    </row>
    <row r="58" spans="1:14" x14ac:dyDescent="0.25">
      <c r="A58" s="97"/>
      <c r="B58" s="102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4"/>
    </row>
    <row r="59" spans="1:14" x14ac:dyDescent="0.25">
      <c r="A59" s="97"/>
      <c r="B59" s="102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4"/>
    </row>
    <row r="60" spans="1:14" x14ac:dyDescent="0.25">
      <c r="A60" s="97"/>
      <c r="B60" s="102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4"/>
    </row>
    <row r="61" spans="1:14" x14ac:dyDescent="0.25">
      <c r="A61" s="97"/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4"/>
    </row>
    <row r="62" spans="1:14" x14ac:dyDescent="0.25">
      <c r="A62" s="97"/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4"/>
    </row>
    <row r="63" spans="1:14" x14ac:dyDescent="0.25">
      <c r="A63" s="97"/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4"/>
    </row>
    <row r="64" spans="1:14" x14ac:dyDescent="0.25">
      <c r="A64" s="97"/>
      <c r="B64" s="102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4"/>
    </row>
    <row r="65" spans="1:14" x14ac:dyDescent="0.25">
      <c r="A65" s="98"/>
      <c r="B65" s="105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106"/>
    </row>
    <row r="67" spans="1:14" x14ac:dyDescent="0.25">
      <c r="A67" s="51" t="s">
        <v>94</v>
      </c>
      <c r="B67" s="94" t="s">
        <v>99</v>
      </c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95"/>
    </row>
    <row r="68" spans="1:14" x14ac:dyDescent="0.25">
      <c r="A68" s="96" t="s">
        <v>96</v>
      </c>
      <c r="B68" s="99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1"/>
    </row>
    <row r="69" spans="1:14" x14ac:dyDescent="0.25">
      <c r="A69" s="97"/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4"/>
    </row>
    <row r="70" spans="1:14" x14ac:dyDescent="0.25">
      <c r="A70" s="9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4"/>
    </row>
    <row r="71" spans="1:14" x14ac:dyDescent="0.25">
      <c r="A71" s="97"/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4"/>
    </row>
    <row r="72" spans="1:14" x14ac:dyDescent="0.25">
      <c r="A72" s="97"/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4"/>
    </row>
    <row r="73" spans="1:14" x14ac:dyDescent="0.25">
      <c r="A73" s="97"/>
      <c r="B73" s="102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4"/>
    </row>
    <row r="74" spans="1:14" x14ac:dyDescent="0.25">
      <c r="A74" s="97"/>
      <c r="B74" s="102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4"/>
    </row>
    <row r="75" spans="1:14" x14ac:dyDescent="0.25">
      <c r="A75" s="97"/>
      <c r="B75" s="102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4"/>
    </row>
    <row r="76" spans="1:14" x14ac:dyDescent="0.25">
      <c r="A76" s="97"/>
      <c r="B76" s="102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4"/>
    </row>
    <row r="77" spans="1:14" x14ac:dyDescent="0.25">
      <c r="A77" s="97"/>
      <c r="B77" s="102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4"/>
    </row>
    <row r="78" spans="1:14" x14ac:dyDescent="0.25">
      <c r="A78" s="97"/>
      <c r="B78" s="102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4"/>
    </row>
    <row r="79" spans="1:14" x14ac:dyDescent="0.25">
      <c r="A79" s="97"/>
      <c r="B79" s="102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4"/>
    </row>
    <row r="80" spans="1:14" x14ac:dyDescent="0.25">
      <c r="A80" s="97"/>
      <c r="B80" s="102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4"/>
    </row>
    <row r="81" spans="1:14" x14ac:dyDescent="0.25">
      <c r="A81" s="97"/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4"/>
    </row>
    <row r="82" spans="1:14" x14ac:dyDescent="0.25">
      <c r="A82" s="97"/>
      <c r="B82" s="102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4"/>
    </row>
    <row r="83" spans="1:14" x14ac:dyDescent="0.25">
      <c r="A83" s="97"/>
      <c r="B83" s="102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4"/>
    </row>
    <row r="84" spans="1:14" x14ac:dyDescent="0.25">
      <c r="A84" s="97"/>
      <c r="B84" s="102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4"/>
    </row>
    <row r="85" spans="1:14" x14ac:dyDescent="0.25">
      <c r="A85" s="97"/>
      <c r="B85" s="102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4"/>
    </row>
    <row r="86" spans="1:14" x14ac:dyDescent="0.25">
      <c r="A86" s="97"/>
      <c r="B86" s="102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4"/>
    </row>
    <row r="87" spans="1:14" x14ac:dyDescent="0.25">
      <c r="A87" s="98"/>
      <c r="B87" s="105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106"/>
    </row>
  </sheetData>
  <mergeCells count="12">
    <mergeCell ref="B67:N67"/>
    <mergeCell ref="A68:A87"/>
    <mergeCell ref="B68:N87"/>
    <mergeCell ref="B45:N45"/>
    <mergeCell ref="A46:A65"/>
    <mergeCell ref="B46:N65"/>
    <mergeCell ref="B1:N1"/>
    <mergeCell ref="A2:A21"/>
    <mergeCell ref="B2:N21"/>
    <mergeCell ref="B23:N23"/>
    <mergeCell ref="A24:A43"/>
    <mergeCell ref="B24:N43"/>
  </mergeCells>
  <phoneticPr fontId="1" type="noConversion"/>
  <pageMargins left="0.7" right="0.7" top="0.75" bottom="0.75" header="0.3" footer="0.3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topLeftCell="A97" workbookViewId="0">
      <selection activeCell="E104" sqref="E104"/>
    </sheetView>
  </sheetViews>
  <sheetFormatPr defaultColWidth="9" defaultRowHeight="14" x14ac:dyDescent="0.25"/>
  <cols>
    <col min="1" max="1" width="9.90625" style="61" customWidth="1"/>
    <col min="2" max="2" width="26.90625" style="61" customWidth="1"/>
    <col min="3" max="3" width="20.36328125" style="61" customWidth="1"/>
    <col min="4" max="4" width="21.453125" style="61" customWidth="1"/>
    <col min="5" max="5" width="26.90625" style="61" customWidth="1"/>
    <col min="6" max="6" width="36.1796875" style="61" customWidth="1"/>
    <col min="7" max="7" width="70" style="61" customWidth="1"/>
    <col min="8" max="15" width="9" style="61" customWidth="1"/>
    <col min="16" max="16384" width="9" style="61"/>
  </cols>
  <sheetData>
    <row r="1" spans="1:7" x14ac:dyDescent="0.25">
      <c r="A1" s="108" t="s">
        <v>100</v>
      </c>
      <c r="B1" s="68" t="s">
        <v>15</v>
      </c>
      <c r="C1" s="68" t="s">
        <v>16</v>
      </c>
      <c r="D1" s="68" t="s">
        <v>17</v>
      </c>
      <c r="E1" s="68" t="s">
        <v>18</v>
      </c>
      <c r="F1" s="111" t="s">
        <v>19</v>
      </c>
      <c r="G1" s="92"/>
    </row>
    <row r="2" spans="1:7" x14ac:dyDescent="0.25">
      <c r="A2" s="109"/>
      <c r="B2" s="44" t="s">
        <v>101</v>
      </c>
      <c r="C2" s="44" t="s">
        <v>25</v>
      </c>
      <c r="D2" s="44"/>
      <c r="E2" s="46">
        <v>8</v>
      </c>
      <c r="F2" s="107" t="s">
        <v>26</v>
      </c>
      <c r="G2" s="84"/>
    </row>
    <row r="3" spans="1:7" x14ac:dyDescent="0.25">
      <c r="A3" s="109"/>
      <c r="B3" s="57" t="s">
        <v>102</v>
      </c>
      <c r="C3" s="57" t="s">
        <v>31</v>
      </c>
      <c r="D3" s="44"/>
      <c r="E3" s="46">
        <v>1</v>
      </c>
      <c r="F3" s="107" t="s">
        <v>103</v>
      </c>
      <c r="G3" s="84"/>
    </row>
    <row r="4" spans="1:7" x14ac:dyDescent="0.25">
      <c r="A4" s="109"/>
      <c r="B4" s="44" t="s">
        <v>104</v>
      </c>
      <c r="C4" s="44" t="s">
        <v>25</v>
      </c>
      <c r="D4" s="44"/>
      <c r="E4" s="46"/>
      <c r="F4" s="107" t="s">
        <v>105</v>
      </c>
      <c r="G4" s="84"/>
    </row>
    <row r="5" spans="1:7" x14ac:dyDescent="0.25">
      <c r="A5" s="109"/>
      <c r="B5" s="44" t="s">
        <v>106</v>
      </c>
      <c r="C5" s="44" t="s">
        <v>31</v>
      </c>
      <c r="D5" s="44"/>
      <c r="E5" s="46"/>
      <c r="F5" s="107" t="s">
        <v>107</v>
      </c>
      <c r="G5" s="84"/>
    </row>
    <row r="6" spans="1:7" x14ac:dyDescent="0.25">
      <c r="A6" s="109"/>
      <c r="B6" s="44" t="s">
        <v>30</v>
      </c>
      <c r="C6" s="44" t="s">
        <v>31</v>
      </c>
      <c r="D6" s="44"/>
      <c r="E6" s="46">
        <v>2</v>
      </c>
      <c r="F6" s="107" t="s">
        <v>32</v>
      </c>
      <c r="G6" s="84"/>
    </row>
    <row r="7" spans="1:7" x14ac:dyDescent="0.25">
      <c r="A7" s="110"/>
      <c r="B7" s="44" t="s">
        <v>39</v>
      </c>
      <c r="C7" s="44" t="s">
        <v>31</v>
      </c>
      <c r="D7" s="44"/>
      <c r="E7" s="46">
        <v>1</v>
      </c>
      <c r="F7" s="107" t="s">
        <v>40</v>
      </c>
      <c r="G7" s="84"/>
    </row>
    <row r="8" spans="1:7" ht="13.5" customHeight="1" x14ac:dyDescent="0.25">
      <c r="A8" s="114" t="s">
        <v>108</v>
      </c>
      <c r="B8" s="115" t="s">
        <v>109</v>
      </c>
      <c r="C8" s="83"/>
      <c r="D8" s="83"/>
      <c r="E8" s="83"/>
      <c r="F8" s="83"/>
      <c r="G8" s="84"/>
    </row>
    <row r="9" spans="1:7" ht="13.5" customHeight="1" x14ac:dyDescent="0.25">
      <c r="A9" s="109"/>
      <c r="B9" s="116" t="s">
        <v>110</v>
      </c>
      <c r="C9" s="83"/>
      <c r="D9" s="83"/>
      <c r="E9" s="83"/>
      <c r="F9" s="83"/>
      <c r="G9" s="84"/>
    </row>
    <row r="10" spans="1:7" ht="13.5" customHeight="1" x14ac:dyDescent="0.25">
      <c r="A10" s="109"/>
      <c r="B10" s="117" t="s">
        <v>111</v>
      </c>
      <c r="C10" s="58" t="s">
        <v>19</v>
      </c>
      <c r="D10" s="58" t="s">
        <v>112</v>
      </c>
      <c r="E10" s="58" t="s">
        <v>113</v>
      </c>
      <c r="F10" s="39" t="s">
        <v>114</v>
      </c>
      <c r="G10" s="39" t="s">
        <v>115</v>
      </c>
    </row>
    <row r="11" spans="1:7" ht="13.5" customHeight="1" x14ac:dyDescent="0.25">
      <c r="A11" s="109"/>
      <c r="B11" s="97"/>
      <c r="C11" s="112" t="s">
        <v>116</v>
      </c>
      <c r="D11" s="63" t="s">
        <v>117</v>
      </c>
      <c r="E11" s="63" t="s">
        <v>118</v>
      </c>
      <c r="F11" s="112" t="s">
        <v>119</v>
      </c>
      <c r="G11" s="120" t="s">
        <v>120</v>
      </c>
    </row>
    <row r="12" spans="1:7" ht="13.5" customHeight="1" x14ac:dyDescent="0.25">
      <c r="A12" s="109"/>
      <c r="B12" s="97"/>
      <c r="C12" s="109"/>
      <c r="D12" s="63" t="s">
        <v>121</v>
      </c>
      <c r="E12" s="63" t="s">
        <v>122</v>
      </c>
      <c r="F12" s="109"/>
      <c r="G12" s="109"/>
    </row>
    <row r="13" spans="1:7" ht="13.5" customHeight="1" x14ac:dyDescent="0.25">
      <c r="A13" s="109"/>
      <c r="B13" s="97"/>
      <c r="C13" s="109"/>
      <c r="D13" s="63" t="s">
        <v>123</v>
      </c>
      <c r="E13" s="63" t="s">
        <v>124</v>
      </c>
      <c r="F13" s="109"/>
      <c r="G13" s="109"/>
    </row>
    <row r="14" spans="1:7" ht="13.5" customHeight="1" x14ac:dyDescent="0.25">
      <c r="A14" s="109"/>
      <c r="B14" s="97"/>
      <c r="C14" s="109"/>
      <c r="D14" s="63" t="s">
        <v>125</v>
      </c>
      <c r="E14" s="63" t="s">
        <v>126</v>
      </c>
      <c r="F14" s="109"/>
      <c r="G14" s="109"/>
    </row>
    <row r="15" spans="1:7" ht="13.5" customHeight="1" x14ac:dyDescent="0.25">
      <c r="A15" s="109"/>
      <c r="B15" s="97"/>
      <c r="C15" s="109"/>
      <c r="D15" s="63" t="s">
        <v>127</v>
      </c>
      <c r="E15" s="63" t="s">
        <v>128</v>
      </c>
      <c r="F15" s="109"/>
      <c r="G15" s="109"/>
    </row>
    <row r="16" spans="1:7" ht="13.5" customHeight="1" x14ac:dyDescent="0.25">
      <c r="A16" s="109"/>
      <c r="B16" s="97"/>
      <c r="C16" s="109"/>
      <c r="D16" s="63" t="s">
        <v>129</v>
      </c>
      <c r="E16" s="63" t="s">
        <v>130</v>
      </c>
      <c r="F16" s="109"/>
      <c r="G16" s="109"/>
    </row>
    <row r="17" spans="1:7" ht="13.5" customHeight="1" x14ac:dyDescent="0.25">
      <c r="A17" s="109"/>
      <c r="B17" s="97"/>
      <c r="C17" s="109"/>
      <c r="D17" s="63"/>
      <c r="E17" s="63" t="s">
        <v>131</v>
      </c>
      <c r="F17" s="109"/>
      <c r="G17" s="109"/>
    </row>
    <row r="18" spans="1:7" ht="13.5" customHeight="1" x14ac:dyDescent="0.25">
      <c r="A18" s="109"/>
      <c r="B18" s="97"/>
      <c r="C18" s="109"/>
      <c r="D18" s="63"/>
      <c r="E18" s="63" t="s">
        <v>132</v>
      </c>
      <c r="F18" s="109"/>
      <c r="G18" s="109"/>
    </row>
    <row r="19" spans="1:7" ht="13.5" customHeight="1" x14ac:dyDescent="0.25">
      <c r="A19" s="109"/>
      <c r="B19" s="97"/>
      <c r="C19" s="113"/>
      <c r="D19" s="63"/>
      <c r="E19" s="63" t="s">
        <v>133</v>
      </c>
      <c r="F19" s="113"/>
      <c r="G19" s="113"/>
    </row>
    <row r="20" spans="1:7" ht="13.5" customHeight="1" x14ac:dyDescent="0.25">
      <c r="A20" s="109"/>
      <c r="B20" s="97"/>
      <c r="C20" s="62" t="s">
        <v>134</v>
      </c>
      <c r="D20" s="37" t="s">
        <v>135</v>
      </c>
      <c r="E20" s="63"/>
      <c r="F20" s="62" t="s">
        <v>119</v>
      </c>
      <c r="G20" s="67" t="s">
        <v>136</v>
      </c>
    </row>
    <row r="21" spans="1:7" ht="13.5" customHeight="1" x14ac:dyDescent="0.25">
      <c r="A21" s="109"/>
      <c r="B21" s="97"/>
      <c r="C21" s="112" t="s">
        <v>137</v>
      </c>
      <c r="D21" s="63" t="s">
        <v>138</v>
      </c>
      <c r="E21" s="63" t="s">
        <v>139</v>
      </c>
      <c r="F21" s="112" t="s">
        <v>119</v>
      </c>
      <c r="G21" s="120" t="s">
        <v>140</v>
      </c>
    </row>
    <row r="22" spans="1:7" ht="13.5" customHeight="1" x14ac:dyDescent="0.25">
      <c r="A22" s="109"/>
      <c r="B22" s="97"/>
      <c r="C22" s="109"/>
      <c r="D22" s="63" t="s">
        <v>141</v>
      </c>
      <c r="E22" s="63" t="s">
        <v>142</v>
      </c>
      <c r="F22" s="109"/>
      <c r="G22" s="109"/>
    </row>
    <row r="23" spans="1:7" ht="13.5" customHeight="1" x14ac:dyDescent="0.25">
      <c r="A23" s="109"/>
      <c r="B23" s="97"/>
      <c r="C23" s="109"/>
      <c r="D23" s="63" t="s">
        <v>143</v>
      </c>
      <c r="E23" s="63" t="s">
        <v>124</v>
      </c>
      <c r="F23" s="109"/>
      <c r="G23" s="109"/>
    </row>
    <row r="24" spans="1:7" ht="13.5" customHeight="1" x14ac:dyDescent="0.25">
      <c r="A24" s="109"/>
      <c r="B24" s="97"/>
      <c r="C24" s="109"/>
      <c r="D24" s="63" t="s">
        <v>144</v>
      </c>
      <c r="E24" s="63" t="s">
        <v>126</v>
      </c>
      <c r="F24" s="109"/>
      <c r="G24" s="109"/>
    </row>
    <row r="25" spans="1:7" ht="13.5" customHeight="1" x14ac:dyDescent="0.25">
      <c r="A25" s="109"/>
      <c r="B25" s="97"/>
      <c r="C25" s="109"/>
      <c r="D25" s="63"/>
      <c r="E25" s="63" t="s">
        <v>128</v>
      </c>
      <c r="F25" s="109"/>
      <c r="G25" s="109"/>
    </row>
    <row r="26" spans="1:7" ht="13.5" customHeight="1" x14ac:dyDescent="0.25">
      <c r="A26" s="109"/>
      <c r="B26" s="97"/>
      <c r="C26" s="109"/>
      <c r="D26" s="63"/>
      <c r="E26" s="63" t="s">
        <v>130</v>
      </c>
      <c r="F26" s="109"/>
      <c r="G26" s="109"/>
    </row>
    <row r="27" spans="1:7" ht="13.5" customHeight="1" x14ac:dyDescent="0.25">
      <c r="A27" s="109"/>
      <c r="B27" s="97"/>
      <c r="C27" s="109"/>
      <c r="D27" s="63"/>
      <c r="E27" s="63" t="s">
        <v>145</v>
      </c>
      <c r="F27" s="109"/>
      <c r="G27" s="109"/>
    </row>
    <row r="28" spans="1:7" ht="13.5" customHeight="1" x14ac:dyDescent="0.25">
      <c r="A28" s="109"/>
      <c r="B28" s="97"/>
      <c r="C28" s="109"/>
      <c r="D28" s="63"/>
      <c r="E28" s="63" t="s">
        <v>146</v>
      </c>
      <c r="F28" s="109"/>
      <c r="G28" s="109"/>
    </row>
    <row r="29" spans="1:7" ht="13.5" customHeight="1" x14ac:dyDescent="0.25">
      <c r="A29" s="109"/>
      <c r="B29" s="97"/>
      <c r="C29" s="113"/>
      <c r="D29" s="63"/>
      <c r="E29" s="63" t="s">
        <v>147</v>
      </c>
      <c r="F29" s="113"/>
      <c r="G29" s="113"/>
    </row>
    <row r="30" spans="1:7" ht="13.5" customHeight="1" x14ac:dyDescent="0.25">
      <c r="A30" s="109"/>
      <c r="B30" s="97"/>
      <c r="C30" s="112" t="s">
        <v>148</v>
      </c>
      <c r="D30" s="67">
        <v>1</v>
      </c>
      <c r="E30" s="67">
        <v>0</v>
      </c>
      <c r="F30" s="112" t="s">
        <v>119</v>
      </c>
      <c r="G30" s="120" t="s">
        <v>149</v>
      </c>
    </row>
    <row r="31" spans="1:7" ht="13.5" customHeight="1" x14ac:dyDescent="0.25">
      <c r="A31" s="109"/>
      <c r="B31" s="97"/>
      <c r="C31" s="109"/>
      <c r="D31" s="67" t="s">
        <v>150</v>
      </c>
      <c r="E31" s="67">
        <v>256</v>
      </c>
      <c r="F31" s="109"/>
      <c r="G31" s="109"/>
    </row>
    <row r="32" spans="1:7" ht="13.5" customHeight="1" x14ac:dyDescent="0.25">
      <c r="A32" s="109"/>
      <c r="B32" s="97"/>
      <c r="C32" s="109"/>
      <c r="D32" s="67">
        <v>255</v>
      </c>
      <c r="E32" s="67" t="s">
        <v>151</v>
      </c>
      <c r="F32" s="109"/>
      <c r="G32" s="109"/>
    </row>
    <row r="33" spans="1:7" ht="13.5" customHeight="1" x14ac:dyDescent="0.25">
      <c r="A33" s="109"/>
      <c r="B33" s="97"/>
      <c r="C33" s="113"/>
      <c r="D33" s="67" t="s">
        <v>124</v>
      </c>
      <c r="E33" s="67" t="s">
        <v>126</v>
      </c>
      <c r="F33" s="113"/>
      <c r="G33" s="113"/>
    </row>
    <row r="34" spans="1:7" ht="13.5" customHeight="1" x14ac:dyDescent="0.25">
      <c r="A34" s="109"/>
      <c r="B34" s="97"/>
      <c r="C34" s="112" t="s">
        <v>152</v>
      </c>
      <c r="D34" s="67">
        <v>1</v>
      </c>
      <c r="E34" s="67">
        <v>0</v>
      </c>
      <c r="F34" s="112" t="s">
        <v>119</v>
      </c>
      <c r="G34" s="120" t="s">
        <v>153</v>
      </c>
    </row>
    <row r="35" spans="1:7" ht="13.5" customHeight="1" x14ac:dyDescent="0.25">
      <c r="A35" s="109"/>
      <c r="B35" s="97"/>
      <c r="C35" s="109"/>
      <c r="D35" s="67" t="s">
        <v>154</v>
      </c>
      <c r="E35" s="67">
        <v>256</v>
      </c>
      <c r="F35" s="109"/>
      <c r="G35" s="109"/>
    </row>
    <row r="36" spans="1:7" ht="13.5" customHeight="1" x14ac:dyDescent="0.25">
      <c r="A36" s="109"/>
      <c r="B36" s="97"/>
      <c r="C36" s="109"/>
      <c r="D36" s="67">
        <v>255</v>
      </c>
      <c r="E36" s="67" t="s">
        <v>151</v>
      </c>
      <c r="F36" s="109"/>
      <c r="G36" s="109"/>
    </row>
    <row r="37" spans="1:7" ht="13.5" customHeight="1" x14ac:dyDescent="0.25">
      <c r="A37" s="109"/>
      <c r="B37" s="98"/>
      <c r="C37" s="113"/>
      <c r="D37" s="67" t="s">
        <v>124</v>
      </c>
      <c r="E37" s="67" t="s">
        <v>126</v>
      </c>
      <c r="F37" s="113"/>
      <c r="G37" s="113"/>
    </row>
    <row r="38" spans="1:7" ht="13.5" customHeight="1" x14ac:dyDescent="0.25">
      <c r="A38" s="109"/>
      <c r="B38" s="116" t="s">
        <v>155</v>
      </c>
      <c r="C38" s="83"/>
      <c r="D38" s="83"/>
      <c r="E38" s="83"/>
      <c r="F38" s="83"/>
      <c r="G38" s="84"/>
    </row>
    <row r="39" spans="1:7" ht="13.5" customHeight="1" x14ac:dyDescent="0.25">
      <c r="A39" s="109"/>
      <c r="B39" s="117" t="s">
        <v>156</v>
      </c>
      <c r="C39" s="38" t="s">
        <v>19</v>
      </c>
      <c r="D39" s="38" t="s">
        <v>157</v>
      </c>
      <c r="E39" s="38" t="s">
        <v>158</v>
      </c>
      <c r="F39" s="38" t="s">
        <v>159</v>
      </c>
      <c r="G39" s="38" t="s">
        <v>160</v>
      </c>
    </row>
    <row r="40" spans="1:7" x14ac:dyDescent="0.25">
      <c r="A40" s="109"/>
      <c r="B40" s="98"/>
      <c r="C40" s="62" t="s">
        <v>161</v>
      </c>
      <c r="D40" s="63"/>
      <c r="E40" s="63"/>
      <c r="F40" s="63"/>
      <c r="G40" s="63"/>
    </row>
    <row r="41" spans="1:7" ht="13.5" customHeight="1" x14ac:dyDescent="0.25">
      <c r="A41" s="109"/>
      <c r="B41" s="116" t="s">
        <v>162</v>
      </c>
      <c r="C41" s="83"/>
      <c r="D41" s="83"/>
      <c r="E41" s="83"/>
      <c r="F41" s="83"/>
      <c r="G41" s="84"/>
    </row>
    <row r="42" spans="1:7" x14ac:dyDescent="0.25">
      <c r="A42" s="109"/>
      <c r="B42" s="65" t="s">
        <v>163</v>
      </c>
      <c r="C42" s="116" t="s">
        <v>164</v>
      </c>
      <c r="D42" s="83"/>
      <c r="E42" s="84"/>
      <c r="F42" s="39" t="s">
        <v>165</v>
      </c>
      <c r="G42" s="39" t="s">
        <v>166</v>
      </c>
    </row>
    <row r="43" spans="1:7" ht="154" customHeight="1" x14ac:dyDescent="0.25">
      <c r="A43" s="109"/>
      <c r="B43" s="43" t="s">
        <v>167</v>
      </c>
      <c r="C43" s="118" t="s">
        <v>168</v>
      </c>
      <c r="D43" s="83"/>
      <c r="E43" s="84"/>
      <c r="F43" s="44" t="s">
        <v>169</v>
      </c>
      <c r="G43" s="36" t="s">
        <v>170</v>
      </c>
    </row>
    <row r="44" spans="1:7" ht="14" customHeight="1" x14ac:dyDescent="0.25">
      <c r="A44" s="109"/>
      <c r="B44" s="119" t="s">
        <v>171</v>
      </c>
      <c r="C44" s="83"/>
      <c r="D44" s="83"/>
      <c r="E44" s="83"/>
      <c r="F44" s="83"/>
      <c r="G44" s="84"/>
    </row>
    <row r="45" spans="1:7" x14ac:dyDescent="0.25">
      <c r="A45" s="109"/>
      <c r="B45" s="38" t="s">
        <v>163</v>
      </c>
      <c r="C45" s="38" t="s">
        <v>172</v>
      </c>
      <c r="D45" s="38" t="s">
        <v>19</v>
      </c>
      <c r="E45" s="38" t="s">
        <v>173</v>
      </c>
      <c r="F45" s="38" t="s">
        <v>174</v>
      </c>
      <c r="G45" s="38" t="s">
        <v>175</v>
      </c>
    </row>
    <row r="46" spans="1:7" ht="102" customHeight="1" x14ac:dyDescent="0.25">
      <c r="A46" s="110"/>
      <c r="B46" s="40" t="s">
        <v>167</v>
      </c>
      <c r="C46" s="40" t="s">
        <v>176</v>
      </c>
      <c r="D46" s="40" t="s">
        <v>170</v>
      </c>
      <c r="E46" s="40" t="s">
        <v>177</v>
      </c>
      <c r="F46" s="40" t="s">
        <v>178</v>
      </c>
      <c r="G46" s="40" t="s">
        <v>179</v>
      </c>
    </row>
    <row r="47" spans="1:7" x14ac:dyDescent="0.25">
      <c r="A47" s="114" t="s">
        <v>102</v>
      </c>
      <c r="B47" s="121" t="s">
        <v>180</v>
      </c>
      <c r="C47" s="91"/>
      <c r="D47" s="91"/>
      <c r="E47" s="91"/>
      <c r="F47" s="91"/>
      <c r="G47" s="92"/>
    </row>
    <row r="48" spans="1:7" x14ac:dyDescent="0.25">
      <c r="A48" s="109"/>
      <c r="B48" s="122" t="s">
        <v>181</v>
      </c>
      <c r="C48" s="91"/>
      <c r="D48" s="91"/>
      <c r="E48" s="91"/>
      <c r="F48" s="91"/>
      <c r="G48" s="92"/>
    </row>
    <row r="49" spans="1:7" x14ac:dyDescent="0.25">
      <c r="A49" s="109"/>
      <c r="B49" s="64" t="s">
        <v>163</v>
      </c>
      <c r="C49" s="122" t="s">
        <v>164</v>
      </c>
      <c r="D49" s="91"/>
      <c r="E49" s="92"/>
      <c r="F49" s="34" t="s">
        <v>165</v>
      </c>
      <c r="G49" s="34" t="s">
        <v>166</v>
      </c>
    </row>
    <row r="50" spans="1:7" x14ac:dyDescent="0.25">
      <c r="A50" s="109"/>
      <c r="B50" s="20" t="s">
        <v>182</v>
      </c>
      <c r="C50" s="123" t="s">
        <v>102</v>
      </c>
      <c r="D50" s="91"/>
      <c r="E50" s="92"/>
      <c r="F50" s="17"/>
      <c r="G50" s="15"/>
    </row>
    <row r="51" spans="1:7" x14ac:dyDescent="0.25">
      <c r="A51" s="109"/>
      <c r="B51" s="124" t="s">
        <v>183</v>
      </c>
      <c r="C51" s="91"/>
      <c r="D51" s="91"/>
      <c r="E51" s="91"/>
      <c r="F51" s="91"/>
      <c r="G51" s="92"/>
    </row>
    <row r="52" spans="1:7" x14ac:dyDescent="0.25">
      <c r="A52" s="109"/>
      <c r="B52" s="21" t="s">
        <v>163</v>
      </c>
      <c r="C52" s="21" t="s">
        <v>172</v>
      </c>
      <c r="D52" s="21" t="s">
        <v>19</v>
      </c>
      <c r="E52" s="21" t="s">
        <v>173</v>
      </c>
      <c r="F52" s="21" t="s">
        <v>174</v>
      </c>
      <c r="G52" s="21" t="s">
        <v>175</v>
      </c>
    </row>
    <row r="53" spans="1:7" ht="152.5" customHeight="1" x14ac:dyDescent="0.25">
      <c r="A53" s="110"/>
      <c r="B53" s="18" t="s">
        <v>184</v>
      </c>
      <c r="C53" s="18" t="s">
        <v>185</v>
      </c>
      <c r="D53" s="18" t="s">
        <v>186</v>
      </c>
      <c r="E53" s="18" t="s">
        <v>177</v>
      </c>
      <c r="F53" s="18" t="s">
        <v>187</v>
      </c>
      <c r="G53" s="18" t="s">
        <v>188</v>
      </c>
    </row>
    <row r="54" spans="1:7" x14ac:dyDescent="0.25">
      <c r="A54" s="114" t="s">
        <v>104</v>
      </c>
      <c r="B54" s="115" t="s">
        <v>109</v>
      </c>
      <c r="C54" s="83"/>
      <c r="D54" s="83"/>
      <c r="E54" s="83"/>
      <c r="F54" s="83"/>
      <c r="G54" s="84"/>
    </row>
    <row r="55" spans="1:7" x14ac:dyDescent="0.25">
      <c r="A55" s="109"/>
      <c r="B55" s="116" t="s">
        <v>110</v>
      </c>
      <c r="C55" s="83"/>
      <c r="D55" s="83"/>
      <c r="E55" s="83"/>
      <c r="F55" s="83"/>
      <c r="G55" s="84"/>
    </row>
    <row r="56" spans="1:7" x14ac:dyDescent="0.25">
      <c r="A56" s="109"/>
      <c r="B56" s="117" t="s">
        <v>111</v>
      </c>
      <c r="C56" s="38" t="s">
        <v>19</v>
      </c>
      <c r="D56" s="38" t="s">
        <v>112</v>
      </c>
      <c r="E56" s="38" t="s">
        <v>113</v>
      </c>
      <c r="F56" s="39" t="s">
        <v>114</v>
      </c>
      <c r="G56" s="39" t="s">
        <v>115</v>
      </c>
    </row>
    <row r="57" spans="1:7" ht="14" customHeight="1" x14ac:dyDescent="0.25">
      <c r="A57" s="109"/>
      <c r="B57" s="97"/>
      <c r="C57" s="126" t="s">
        <v>189</v>
      </c>
      <c r="D57" s="63" t="s">
        <v>190</v>
      </c>
      <c r="E57" s="63" t="s">
        <v>191</v>
      </c>
      <c r="F57" s="126" t="s">
        <v>119</v>
      </c>
      <c r="G57" s="125" t="s">
        <v>192</v>
      </c>
    </row>
    <row r="58" spans="1:7" x14ac:dyDescent="0.25">
      <c r="A58" s="109"/>
      <c r="B58" s="97"/>
      <c r="C58" s="98"/>
      <c r="D58" s="63" t="s">
        <v>193</v>
      </c>
      <c r="E58" s="63"/>
      <c r="F58" s="98"/>
      <c r="G58" s="98"/>
    </row>
    <row r="59" spans="1:7" x14ac:dyDescent="0.25">
      <c r="A59" s="109"/>
      <c r="B59" s="97"/>
      <c r="C59" s="62" t="s">
        <v>134</v>
      </c>
      <c r="D59" s="37" t="s">
        <v>135</v>
      </c>
      <c r="E59" s="63"/>
      <c r="F59" s="62"/>
      <c r="G59" s="63"/>
    </row>
    <row r="60" spans="1:7" ht="14" customHeight="1" x14ac:dyDescent="0.25">
      <c r="A60" s="109"/>
      <c r="B60" s="97"/>
      <c r="C60" s="129" t="s">
        <v>137</v>
      </c>
      <c r="D60" s="63" t="s">
        <v>138</v>
      </c>
      <c r="E60" s="63" t="s">
        <v>139</v>
      </c>
      <c r="F60" s="129" t="s">
        <v>119</v>
      </c>
      <c r="G60" s="130" t="s">
        <v>140</v>
      </c>
    </row>
    <row r="61" spans="1:7" ht="28" customHeight="1" x14ac:dyDescent="0.25">
      <c r="A61" s="109"/>
      <c r="B61" s="97"/>
      <c r="C61" s="109"/>
      <c r="D61" s="63" t="s">
        <v>141</v>
      </c>
      <c r="E61" s="63" t="s">
        <v>142</v>
      </c>
      <c r="F61" s="109"/>
      <c r="G61" s="109"/>
    </row>
    <row r="62" spans="1:7" ht="28" customHeight="1" x14ac:dyDescent="0.25">
      <c r="A62" s="109"/>
      <c r="B62" s="97"/>
      <c r="C62" s="109"/>
      <c r="D62" s="63" t="s">
        <v>143</v>
      </c>
      <c r="E62" s="63" t="s">
        <v>124</v>
      </c>
      <c r="F62" s="109"/>
      <c r="G62" s="109"/>
    </row>
    <row r="63" spans="1:7" ht="28" customHeight="1" x14ac:dyDescent="0.25">
      <c r="A63" s="109"/>
      <c r="B63" s="97"/>
      <c r="C63" s="109"/>
      <c r="D63" s="63" t="s">
        <v>144</v>
      </c>
      <c r="E63" s="63" t="s">
        <v>126</v>
      </c>
      <c r="F63" s="109"/>
      <c r="G63" s="109"/>
    </row>
    <row r="64" spans="1:7" x14ac:dyDescent="0.25">
      <c r="A64" s="109"/>
      <c r="B64" s="97"/>
      <c r="C64" s="109"/>
      <c r="D64" s="63"/>
      <c r="E64" s="63" t="s">
        <v>128</v>
      </c>
      <c r="F64" s="109"/>
      <c r="G64" s="109"/>
    </row>
    <row r="65" spans="1:7" x14ac:dyDescent="0.25">
      <c r="A65" s="109"/>
      <c r="B65" s="97"/>
      <c r="C65" s="109"/>
      <c r="D65" s="63"/>
      <c r="E65" s="63" t="s">
        <v>130</v>
      </c>
      <c r="F65" s="109"/>
      <c r="G65" s="109"/>
    </row>
    <row r="66" spans="1:7" x14ac:dyDescent="0.25">
      <c r="A66" s="109"/>
      <c r="B66" s="97"/>
      <c r="C66" s="109"/>
      <c r="D66" s="63"/>
      <c r="E66" s="63" t="s">
        <v>145</v>
      </c>
      <c r="F66" s="109"/>
      <c r="G66" s="109"/>
    </row>
    <row r="67" spans="1:7" ht="28" customHeight="1" x14ac:dyDescent="0.25">
      <c r="A67" s="109"/>
      <c r="B67" s="97"/>
      <c r="C67" s="109"/>
      <c r="D67" s="63"/>
      <c r="E67" s="63" t="s">
        <v>146</v>
      </c>
      <c r="F67" s="109"/>
      <c r="G67" s="109"/>
    </row>
    <row r="68" spans="1:7" x14ac:dyDescent="0.25">
      <c r="A68" s="109"/>
      <c r="B68" s="97"/>
      <c r="C68" s="109"/>
      <c r="D68" s="63"/>
      <c r="E68" s="63" t="s">
        <v>147</v>
      </c>
      <c r="F68" s="109"/>
      <c r="G68" s="109"/>
    </row>
    <row r="69" spans="1:7" ht="14" customHeight="1" x14ac:dyDescent="0.25">
      <c r="A69" s="109"/>
      <c r="B69" s="97"/>
      <c r="C69" s="114" t="s">
        <v>148</v>
      </c>
      <c r="D69" s="67">
        <v>1</v>
      </c>
      <c r="E69" s="67">
        <v>0</v>
      </c>
      <c r="F69" s="114" t="s">
        <v>119</v>
      </c>
      <c r="G69" s="125" t="s">
        <v>149</v>
      </c>
    </row>
    <row r="70" spans="1:7" x14ac:dyDescent="0.25">
      <c r="A70" s="109"/>
      <c r="B70" s="97"/>
      <c r="C70" s="109"/>
      <c r="D70" s="67" t="s">
        <v>150</v>
      </c>
      <c r="E70" s="67">
        <v>256</v>
      </c>
      <c r="F70" s="109"/>
      <c r="G70" s="97"/>
    </row>
    <row r="71" spans="1:7" x14ac:dyDescent="0.25">
      <c r="A71" s="109"/>
      <c r="B71" s="97"/>
      <c r="C71" s="109"/>
      <c r="D71" s="67">
        <v>255</v>
      </c>
      <c r="E71" s="67" t="s">
        <v>151</v>
      </c>
      <c r="F71" s="109"/>
      <c r="G71" s="97"/>
    </row>
    <row r="72" spans="1:7" x14ac:dyDescent="0.25">
      <c r="A72" s="109"/>
      <c r="B72" s="97"/>
      <c r="C72" s="110"/>
      <c r="D72" s="67" t="s">
        <v>124</v>
      </c>
      <c r="E72" s="67" t="s">
        <v>126</v>
      </c>
      <c r="F72" s="110"/>
      <c r="G72" s="98"/>
    </row>
    <row r="73" spans="1:7" ht="14" customHeight="1" x14ac:dyDescent="0.25">
      <c r="A73" s="109"/>
      <c r="B73" s="97"/>
      <c r="C73" s="114" t="s">
        <v>152</v>
      </c>
      <c r="D73" s="67">
        <v>1</v>
      </c>
      <c r="E73" s="67">
        <v>0</v>
      </c>
      <c r="F73" s="114" t="s">
        <v>119</v>
      </c>
      <c r="G73" s="125" t="s">
        <v>153</v>
      </c>
    </row>
    <row r="74" spans="1:7" x14ac:dyDescent="0.25">
      <c r="A74" s="109"/>
      <c r="B74" s="97"/>
      <c r="C74" s="109"/>
      <c r="D74" s="67" t="s">
        <v>154</v>
      </c>
      <c r="E74" s="67">
        <v>256</v>
      </c>
      <c r="F74" s="109"/>
      <c r="G74" s="97"/>
    </row>
    <row r="75" spans="1:7" x14ac:dyDescent="0.25">
      <c r="A75" s="109"/>
      <c r="B75" s="97"/>
      <c r="C75" s="109"/>
      <c r="D75" s="67">
        <v>255</v>
      </c>
      <c r="E75" s="67" t="s">
        <v>151</v>
      </c>
      <c r="F75" s="109"/>
      <c r="G75" s="97"/>
    </row>
    <row r="76" spans="1:7" x14ac:dyDescent="0.25">
      <c r="A76" s="109"/>
      <c r="B76" s="98"/>
      <c r="C76" s="110"/>
      <c r="D76" s="67" t="s">
        <v>124</v>
      </c>
      <c r="E76" s="67" t="s">
        <v>126</v>
      </c>
      <c r="F76" s="110"/>
      <c r="G76" s="98"/>
    </row>
    <row r="77" spans="1:7" x14ac:dyDescent="0.25">
      <c r="A77" s="109"/>
      <c r="B77" s="116" t="s">
        <v>155</v>
      </c>
      <c r="C77" s="83"/>
      <c r="D77" s="83"/>
      <c r="E77" s="83"/>
      <c r="F77" s="83"/>
      <c r="G77" s="84"/>
    </row>
    <row r="78" spans="1:7" x14ac:dyDescent="0.25">
      <c r="A78" s="109"/>
      <c r="B78" s="117" t="s">
        <v>156</v>
      </c>
      <c r="C78" s="38" t="s">
        <v>19</v>
      </c>
      <c r="D78" s="38" t="s">
        <v>157</v>
      </c>
      <c r="E78" s="38" t="s">
        <v>158</v>
      </c>
      <c r="F78" s="38" t="s">
        <v>159</v>
      </c>
      <c r="G78" s="38" t="s">
        <v>160</v>
      </c>
    </row>
    <row r="79" spans="1:7" x14ac:dyDescent="0.25">
      <c r="A79" s="109"/>
      <c r="B79" s="98"/>
      <c r="C79" s="62" t="s">
        <v>161</v>
      </c>
      <c r="D79" s="63"/>
      <c r="E79" s="63"/>
      <c r="F79" s="63"/>
      <c r="G79" s="63"/>
    </row>
    <row r="80" spans="1:7" x14ac:dyDescent="0.25">
      <c r="A80" s="109"/>
      <c r="B80" s="116" t="s">
        <v>162</v>
      </c>
      <c r="C80" s="83"/>
      <c r="D80" s="83"/>
      <c r="E80" s="83"/>
      <c r="F80" s="83"/>
      <c r="G80" s="84"/>
    </row>
    <row r="81" spans="1:11" x14ac:dyDescent="0.25">
      <c r="A81" s="109"/>
      <c r="B81" s="65" t="s">
        <v>163</v>
      </c>
      <c r="C81" s="116" t="s">
        <v>164</v>
      </c>
      <c r="D81" s="83"/>
      <c r="E81" s="84"/>
      <c r="F81" s="39" t="s">
        <v>165</v>
      </c>
      <c r="G81" s="39" t="s">
        <v>166</v>
      </c>
    </row>
    <row r="82" spans="1:11" ht="44.5" customHeight="1" x14ac:dyDescent="0.25">
      <c r="A82" s="109"/>
      <c r="B82" s="43" t="s">
        <v>194</v>
      </c>
      <c r="C82" s="118" t="s">
        <v>195</v>
      </c>
      <c r="D82" s="83"/>
      <c r="E82" s="84"/>
      <c r="F82" s="44" t="s">
        <v>196</v>
      </c>
      <c r="G82" s="36" t="s">
        <v>197</v>
      </c>
    </row>
    <row r="83" spans="1:11" ht="44.5" customHeight="1" x14ac:dyDescent="0.25">
      <c r="A83" s="109"/>
      <c r="B83" s="43" t="s">
        <v>198</v>
      </c>
      <c r="C83" s="118" t="s">
        <v>199</v>
      </c>
      <c r="D83" s="83"/>
      <c r="E83" s="84"/>
      <c r="F83" s="44" t="s">
        <v>200</v>
      </c>
      <c r="G83" s="36" t="s">
        <v>192</v>
      </c>
    </row>
    <row r="84" spans="1:11" x14ac:dyDescent="0.25">
      <c r="A84" s="109"/>
      <c r="B84" s="119" t="s">
        <v>171</v>
      </c>
      <c r="C84" s="83"/>
      <c r="D84" s="83"/>
      <c r="E84" s="83"/>
      <c r="F84" s="83"/>
      <c r="G84" s="84"/>
    </row>
    <row r="85" spans="1:11" x14ac:dyDescent="0.25">
      <c r="A85" s="109"/>
      <c r="B85" s="38" t="s">
        <v>163</v>
      </c>
      <c r="C85" s="38" t="s">
        <v>172</v>
      </c>
      <c r="D85" s="38" t="s">
        <v>19</v>
      </c>
      <c r="E85" s="38" t="s">
        <v>173</v>
      </c>
      <c r="F85" s="38" t="s">
        <v>174</v>
      </c>
      <c r="G85" s="38" t="s">
        <v>175</v>
      </c>
    </row>
    <row r="86" spans="1:11" ht="36.5" customHeight="1" x14ac:dyDescent="0.25">
      <c r="A86" s="109"/>
      <c r="B86" s="40" t="s">
        <v>194</v>
      </c>
      <c r="C86" s="40" t="s">
        <v>195</v>
      </c>
      <c r="D86" s="40" t="s">
        <v>197</v>
      </c>
      <c r="E86" s="40" t="s">
        <v>177</v>
      </c>
      <c r="F86" s="40" t="s">
        <v>201</v>
      </c>
      <c r="G86" s="40" t="s">
        <v>179</v>
      </c>
    </row>
    <row r="87" spans="1:11" ht="124" customHeight="1" x14ac:dyDescent="0.25">
      <c r="A87" s="110"/>
      <c r="B87" s="40" t="s">
        <v>198</v>
      </c>
      <c r="C87" s="40" t="s">
        <v>199</v>
      </c>
      <c r="D87" s="40" t="s">
        <v>192</v>
      </c>
      <c r="E87" s="40" t="s">
        <v>177</v>
      </c>
      <c r="F87" s="40" t="s">
        <v>202</v>
      </c>
      <c r="G87" s="40" t="s">
        <v>203</v>
      </c>
    </row>
    <row r="88" spans="1:11" x14ac:dyDescent="0.25">
      <c r="A88" s="114" t="s">
        <v>204</v>
      </c>
      <c r="B88" s="121" t="s">
        <v>180</v>
      </c>
      <c r="C88" s="91"/>
      <c r="D88" s="91"/>
      <c r="E88" s="91"/>
      <c r="F88" s="91"/>
      <c r="G88" s="92"/>
    </row>
    <row r="89" spans="1:11" x14ac:dyDescent="0.25">
      <c r="A89" s="109"/>
      <c r="B89" s="122" t="s">
        <v>181</v>
      </c>
      <c r="C89" s="91"/>
      <c r="D89" s="91"/>
      <c r="E89" s="91"/>
      <c r="F89" s="91"/>
      <c r="G89" s="92"/>
    </row>
    <row r="90" spans="1:11" x14ac:dyDescent="0.25">
      <c r="A90" s="109"/>
      <c r="B90" s="64" t="s">
        <v>163</v>
      </c>
      <c r="C90" s="122" t="s">
        <v>164</v>
      </c>
      <c r="D90" s="91"/>
      <c r="E90" s="92"/>
      <c r="F90" s="34" t="s">
        <v>165</v>
      </c>
      <c r="G90" s="34" t="s">
        <v>166</v>
      </c>
    </row>
    <row r="91" spans="1:11" x14ac:dyDescent="0.25">
      <c r="A91" s="109"/>
      <c r="B91" s="20" t="s">
        <v>205</v>
      </c>
      <c r="C91" s="123" t="s">
        <v>206</v>
      </c>
      <c r="D91" s="91"/>
      <c r="E91" s="92"/>
      <c r="F91" s="17"/>
      <c r="G91" s="15" t="s">
        <v>207</v>
      </c>
    </row>
    <row r="92" spans="1:11" x14ac:dyDescent="0.25">
      <c r="A92" s="109"/>
      <c r="B92" s="124" t="s">
        <v>183</v>
      </c>
      <c r="C92" s="91"/>
      <c r="D92" s="91"/>
      <c r="E92" s="91"/>
      <c r="F92" s="91"/>
      <c r="G92" s="92"/>
    </row>
    <row r="93" spans="1:11" x14ac:dyDescent="0.25">
      <c r="A93" s="109"/>
      <c r="B93" s="21" t="s">
        <v>163</v>
      </c>
      <c r="C93" s="21" t="s">
        <v>172</v>
      </c>
      <c r="D93" s="21" t="s">
        <v>19</v>
      </c>
      <c r="E93" s="21" t="s">
        <v>173</v>
      </c>
      <c r="F93" s="21" t="s">
        <v>174</v>
      </c>
      <c r="G93" s="21" t="s">
        <v>175</v>
      </c>
    </row>
    <row r="94" spans="1:11" ht="191" customHeight="1" x14ac:dyDescent="0.25">
      <c r="A94" s="109"/>
      <c r="B94" s="18" t="s">
        <v>208</v>
      </c>
      <c r="C94" s="18" t="s">
        <v>209</v>
      </c>
      <c r="D94" s="18" t="s">
        <v>210</v>
      </c>
      <c r="E94" s="18" t="s">
        <v>177</v>
      </c>
      <c r="F94" s="18" t="s">
        <v>211</v>
      </c>
      <c r="G94" s="18" t="s">
        <v>212</v>
      </c>
    </row>
    <row r="95" spans="1:11" ht="187.5" customHeight="1" x14ac:dyDescent="0.25">
      <c r="A95" s="109"/>
      <c r="B95" s="40" t="s">
        <v>213</v>
      </c>
      <c r="C95" s="40" t="s">
        <v>214</v>
      </c>
      <c r="D95" s="18" t="s">
        <v>210</v>
      </c>
      <c r="E95" s="18" t="s">
        <v>177</v>
      </c>
      <c r="F95" s="40" t="s">
        <v>215</v>
      </c>
      <c r="G95" s="40" t="s">
        <v>216</v>
      </c>
    </row>
    <row r="96" spans="1:11" ht="187.5" customHeight="1" x14ac:dyDescent="0.25">
      <c r="A96" s="109"/>
      <c r="B96" s="40" t="s">
        <v>217</v>
      </c>
      <c r="C96" s="40" t="s">
        <v>218</v>
      </c>
      <c r="D96" s="40" t="s">
        <v>210</v>
      </c>
      <c r="E96" s="40" t="s">
        <v>177</v>
      </c>
      <c r="F96" s="40" t="s">
        <v>219</v>
      </c>
      <c r="G96" s="40" t="s">
        <v>220</v>
      </c>
      <c r="K96" s="49"/>
    </row>
    <row r="97" spans="1:7" ht="263" customHeight="1" x14ac:dyDescent="0.25">
      <c r="A97" s="110"/>
      <c r="B97" s="18" t="s">
        <v>221</v>
      </c>
      <c r="C97" s="18" t="s">
        <v>222</v>
      </c>
      <c r="D97" s="18" t="s">
        <v>223</v>
      </c>
      <c r="E97" s="18" t="s">
        <v>177</v>
      </c>
      <c r="F97" s="18" t="s">
        <v>224</v>
      </c>
      <c r="G97" s="18" t="s">
        <v>225</v>
      </c>
    </row>
    <row r="98" spans="1:7" x14ac:dyDescent="0.25">
      <c r="A98" s="114" t="s">
        <v>30</v>
      </c>
      <c r="B98" s="121" t="s">
        <v>180</v>
      </c>
      <c r="C98" s="91"/>
      <c r="D98" s="91"/>
      <c r="E98" s="91"/>
      <c r="F98" s="91"/>
      <c r="G98" s="92"/>
    </row>
    <row r="99" spans="1:7" x14ac:dyDescent="0.25">
      <c r="A99" s="109"/>
      <c r="B99" s="122" t="s">
        <v>181</v>
      </c>
      <c r="C99" s="91"/>
      <c r="D99" s="91"/>
      <c r="E99" s="91"/>
      <c r="F99" s="91"/>
      <c r="G99" s="92"/>
    </row>
    <row r="100" spans="1:7" x14ac:dyDescent="0.25">
      <c r="A100" s="109"/>
      <c r="B100" s="64" t="s">
        <v>163</v>
      </c>
      <c r="C100" s="122" t="s">
        <v>164</v>
      </c>
      <c r="D100" s="91"/>
      <c r="E100" s="92"/>
      <c r="F100" s="34" t="s">
        <v>165</v>
      </c>
      <c r="G100" s="34" t="s">
        <v>166</v>
      </c>
    </row>
    <row r="101" spans="1:7" ht="28" customHeight="1" x14ac:dyDescent="0.25">
      <c r="A101" s="109"/>
      <c r="B101" s="20" t="s">
        <v>226</v>
      </c>
      <c r="C101" s="123" t="s">
        <v>227</v>
      </c>
      <c r="D101" s="91"/>
      <c r="E101" s="92"/>
      <c r="F101" s="17" t="s">
        <v>228</v>
      </c>
      <c r="G101" s="15" t="s">
        <v>229</v>
      </c>
    </row>
    <row r="102" spans="1:7" x14ac:dyDescent="0.25">
      <c r="A102" s="109"/>
      <c r="B102" s="124" t="s">
        <v>183</v>
      </c>
      <c r="C102" s="91"/>
      <c r="D102" s="91"/>
      <c r="E102" s="91"/>
      <c r="F102" s="91"/>
      <c r="G102" s="92"/>
    </row>
    <row r="103" spans="1:7" x14ac:dyDescent="0.25">
      <c r="A103" s="109"/>
      <c r="B103" s="21" t="s">
        <v>163</v>
      </c>
      <c r="C103" s="21" t="s">
        <v>172</v>
      </c>
      <c r="D103" s="21" t="s">
        <v>19</v>
      </c>
      <c r="E103" s="21" t="s">
        <v>173</v>
      </c>
      <c r="F103" s="21" t="s">
        <v>174</v>
      </c>
      <c r="G103" s="21" t="s">
        <v>175</v>
      </c>
    </row>
    <row r="104" spans="1:7" ht="191.5" customHeight="1" x14ac:dyDescent="0.25">
      <c r="A104" s="110"/>
      <c r="B104" s="18" t="s">
        <v>226</v>
      </c>
      <c r="C104" s="18" t="s">
        <v>230</v>
      </c>
      <c r="D104" s="18" t="s">
        <v>231</v>
      </c>
      <c r="E104" s="18" t="s">
        <v>177</v>
      </c>
      <c r="F104" s="18" t="s">
        <v>232</v>
      </c>
      <c r="G104" s="18" t="s">
        <v>233</v>
      </c>
    </row>
    <row r="105" spans="1:7" x14ac:dyDescent="0.25">
      <c r="A105" s="126" t="s">
        <v>39</v>
      </c>
      <c r="B105" s="115" t="s">
        <v>180</v>
      </c>
      <c r="C105" s="83"/>
      <c r="D105" s="83"/>
      <c r="E105" s="83"/>
      <c r="F105" s="83"/>
      <c r="G105" s="84"/>
    </row>
    <row r="106" spans="1:7" x14ac:dyDescent="0.25">
      <c r="A106" s="97"/>
      <c r="B106" s="116" t="s">
        <v>110</v>
      </c>
      <c r="C106" s="83"/>
      <c r="D106" s="83"/>
      <c r="E106" s="83"/>
      <c r="F106" s="83"/>
      <c r="G106" s="84"/>
    </row>
    <row r="107" spans="1:7" x14ac:dyDescent="0.25">
      <c r="A107" s="97"/>
      <c r="B107" s="117" t="s">
        <v>111</v>
      </c>
      <c r="C107" s="38" t="s">
        <v>19</v>
      </c>
      <c r="D107" s="38" t="s">
        <v>112</v>
      </c>
      <c r="E107" s="38" t="s">
        <v>113</v>
      </c>
      <c r="F107" s="127"/>
      <c r="G107" s="84"/>
    </row>
    <row r="108" spans="1:7" x14ac:dyDescent="0.25">
      <c r="A108" s="97"/>
      <c r="B108" s="97"/>
      <c r="C108" s="126" t="s">
        <v>234</v>
      </c>
      <c r="D108" s="63" t="s">
        <v>235</v>
      </c>
      <c r="E108" s="63"/>
      <c r="F108" s="128" t="s">
        <v>236</v>
      </c>
      <c r="G108" s="101"/>
    </row>
    <row r="109" spans="1:7" x14ac:dyDescent="0.25">
      <c r="A109" s="97"/>
      <c r="B109" s="97"/>
      <c r="C109" s="97"/>
      <c r="D109" s="63" t="s">
        <v>237</v>
      </c>
      <c r="E109" s="63"/>
      <c r="F109" s="102"/>
      <c r="G109" s="104"/>
    </row>
    <row r="110" spans="1:7" x14ac:dyDescent="0.25">
      <c r="A110" s="97"/>
      <c r="B110" s="97"/>
      <c r="C110" s="98"/>
      <c r="D110" s="63" t="s">
        <v>238</v>
      </c>
      <c r="E110" s="63"/>
      <c r="F110" s="105"/>
      <c r="G110" s="106"/>
    </row>
    <row r="111" spans="1:7" x14ac:dyDescent="0.25">
      <c r="A111" s="97"/>
      <c r="B111" s="97"/>
      <c r="C111" s="126" t="s">
        <v>239</v>
      </c>
      <c r="D111" s="63" t="s">
        <v>240</v>
      </c>
      <c r="E111" s="63"/>
      <c r="F111" s="128" t="s">
        <v>241</v>
      </c>
      <c r="G111" s="101"/>
    </row>
    <row r="112" spans="1:7" x14ac:dyDescent="0.25">
      <c r="A112" s="97"/>
      <c r="B112" s="98"/>
      <c r="C112" s="98"/>
      <c r="D112" s="63" t="s">
        <v>242</v>
      </c>
      <c r="E112" s="63"/>
      <c r="F112" s="105"/>
      <c r="G112" s="106"/>
    </row>
    <row r="113" spans="1:7" x14ac:dyDescent="0.25">
      <c r="A113" s="97"/>
      <c r="B113" s="116" t="s">
        <v>155</v>
      </c>
      <c r="C113" s="83"/>
      <c r="D113" s="83"/>
      <c r="E113" s="83"/>
      <c r="F113" s="83"/>
      <c r="G113" s="84"/>
    </row>
    <row r="114" spans="1:7" x14ac:dyDescent="0.25">
      <c r="A114" s="97"/>
      <c r="B114" s="117" t="s">
        <v>156</v>
      </c>
      <c r="C114" s="38" t="s">
        <v>19</v>
      </c>
      <c r="D114" s="38" t="s">
        <v>157</v>
      </c>
      <c r="E114" s="38" t="s">
        <v>243</v>
      </c>
      <c r="F114" s="38" t="s">
        <v>244</v>
      </c>
      <c r="G114" s="38" t="s">
        <v>160</v>
      </c>
    </row>
    <row r="115" spans="1:7" ht="28" customHeight="1" x14ac:dyDescent="0.25">
      <c r="A115" s="97"/>
      <c r="B115" s="97"/>
      <c r="C115" s="62" t="s">
        <v>234</v>
      </c>
      <c r="D115" s="43" t="s">
        <v>245</v>
      </c>
      <c r="E115" s="43" t="s">
        <v>246</v>
      </c>
      <c r="F115" s="63" t="s">
        <v>247</v>
      </c>
      <c r="G115" s="43" t="s">
        <v>248</v>
      </c>
    </row>
    <row r="116" spans="1:7" x14ac:dyDescent="0.25">
      <c r="A116" s="97"/>
      <c r="B116" s="98"/>
      <c r="C116" s="62" t="s">
        <v>239</v>
      </c>
      <c r="D116" s="43" t="s">
        <v>246</v>
      </c>
      <c r="E116" s="43" t="s">
        <v>249</v>
      </c>
      <c r="F116" s="43" t="s">
        <v>228</v>
      </c>
      <c r="G116" s="63"/>
    </row>
    <row r="117" spans="1:7" x14ac:dyDescent="0.25">
      <c r="A117" s="97"/>
      <c r="B117" s="116" t="s">
        <v>250</v>
      </c>
      <c r="C117" s="83"/>
      <c r="D117" s="83"/>
      <c r="E117" s="83"/>
      <c r="F117" s="83"/>
      <c r="G117" s="84"/>
    </row>
    <row r="118" spans="1:7" x14ac:dyDescent="0.25">
      <c r="A118" s="97"/>
      <c r="B118" s="65" t="s">
        <v>163</v>
      </c>
      <c r="C118" s="116" t="s">
        <v>164</v>
      </c>
      <c r="D118" s="83"/>
      <c r="E118" s="84"/>
      <c r="F118" s="39" t="s">
        <v>165</v>
      </c>
      <c r="G118" s="39" t="s">
        <v>166</v>
      </c>
    </row>
    <row r="119" spans="1:7" x14ac:dyDescent="0.25">
      <c r="A119" s="97"/>
      <c r="B119" s="66" t="s">
        <v>251</v>
      </c>
      <c r="C119" s="118" t="s">
        <v>252</v>
      </c>
      <c r="D119" s="83"/>
      <c r="E119" s="84"/>
      <c r="F119" s="44" t="s">
        <v>253</v>
      </c>
      <c r="G119" s="43" t="s">
        <v>248</v>
      </c>
    </row>
    <row r="120" spans="1:7" x14ac:dyDescent="0.25">
      <c r="A120" s="97"/>
      <c r="B120" s="119" t="s">
        <v>254</v>
      </c>
      <c r="C120" s="83"/>
      <c r="D120" s="83"/>
      <c r="E120" s="83"/>
      <c r="F120" s="83"/>
      <c r="G120" s="84"/>
    </row>
    <row r="121" spans="1:7" x14ac:dyDescent="0.25">
      <c r="A121" s="97"/>
      <c r="B121" s="38" t="s">
        <v>163</v>
      </c>
      <c r="C121" s="38" t="s">
        <v>172</v>
      </c>
      <c r="D121" s="38" t="s">
        <v>19</v>
      </c>
      <c r="E121" s="38" t="s">
        <v>173</v>
      </c>
      <c r="F121" s="38" t="s">
        <v>174</v>
      </c>
      <c r="G121" s="38" t="s">
        <v>175</v>
      </c>
    </row>
    <row r="122" spans="1:7" ht="28" customHeight="1" x14ac:dyDescent="0.25">
      <c r="A122" s="98"/>
      <c r="B122" s="40" t="s">
        <v>251</v>
      </c>
      <c r="C122" s="40" t="s">
        <v>252</v>
      </c>
      <c r="D122" s="40" t="s">
        <v>255</v>
      </c>
      <c r="E122" s="40" t="s">
        <v>177</v>
      </c>
      <c r="F122" s="40" t="s">
        <v>256</v>
      </c>
      <c r="G122" s="40" t="s">
        <v>257</v>
      </c>
    </row>
    <row r="123" spans="1:7" x14ac:dyDescent="0.25">
      <c r="A123" s="114" t="s">
        <v>43</v>
      </c>
      <c r="B123" s="121" t="s">
        <v>180</v>
      </c>
      <c r="C123" s="91"/>
      <c r="D123" s="91"/>
      <c r="E123" s="91"/>
      <c r="F123" s="91"/>
      <c r="G123" s="92"/>
    </row>
    <row r="124" spans="1:7" x14ac:dyDescent="0.25">
      <c r="A124" s="109"/>
      <c r="B124" s="122" t="s">
        <v>181</v>
      </c>
      <c r="C124" s="91"/>
      <c r="D124" s="91"/>
      <c r="E124" s="91"/>
      <c r="F124" s="91"/>
      <c r="G124" s="92"/>
    </row>
    <row r="125" spans="1:7" x14ac:dyDescent="0.25">
      <c r="A125" s="109"/>
      <c r="B125" s="64" t="s">
        <v>163</v>
      </c>
      <c r="C125" s="122" t="s">
        <v>164</v>
      </c>
      <c r="D125" s="91"/>
      <c r="E125" s="92"/>
      <c r="F125" s="34" t="s">
        <v>165</v>
      </c>
      <c r="G125" s="34" t="s">
        <v>166</v>
      </c>
    </row>
    <row r="126" spans="1:7" x14ac:dyDescent="0.25">
      <c r="A126" s="109"/>
      <c r="B126" s="20" t="s">
        <v>258</v>
      </c>
      <c r="C126" s="123" t="s">
        <v>259</v>
      </c>
      <c r="D126" s="91"/>
      <c r="E126" s="92"/>
      <c r="F126" s="17"/>
      <c r="G126" s="15" t="s">
        <v>260</v>
      </c>
    </row>
    <row r="127" spans="1:7" x14ac:dyDescent="0.25">
      <c r="A127" s="109"/>
      <c r="B127" s="124" t="s">
        <v>183</v>
      </c>
      <c r="C127" s="91"/>
      <c r="D127" s="91"/>
      <c r="E127" s="91"/>
      <c r="F127" s="91"/>
      <c r="G127" s="92"/>
    </row>
    <row r="128" spans="1:7" x14ac:dyDescent="0.25">
      <c r="A128" s="109"/>
      <c r="B128" s="21" t="s">
        <v>163</v>
      </c>
      <c r="C128" s="21" t="s">
        <v>172</v>
      </c>
      <c r="D128" s="21" t="s">
        <v>19</v>
      </c>
      <c r="E128" s="21" t="s">
        <v>173</v>
      </c>
      <c r="F128" s="21" t="s">
        <v>174</v>
      </c>
      <c r="G128" s="21" t="s">
        <v>175</v>
      </c>
    </row>
    <row r="129" spans="1:7" ht="42" customHeight="1" x14ac:dyDescent="0.25">
      <c r="A129" s="110"/>
      <c r="B129" s="40" t="s">
        <v>258</v>
      </c>
      <c r="C129" s="40" t="s">
        <v>259</v>
      </c>
      <c r="D129" s="40" t="s">
        <v>260</v>
      </c>
      <c r="E129" s="40" t="s">
        <v>261</v>
      </c>
      <c r="F129" s="40" t="s">
        <v>262</v>
      </c>
      <c r="G129" s="40" t="s">
        <v>263</v>
      </c>
    </row>
  </sheetData>
  <mergeCells count="92">
    <mergeCell ref="F34:F37"/>
    <mergeCell ref="G34:G37"/>
    <mergeCell ref="F11:F19"/>
    <mergeCell ref="G11:G19"/>
    <mergeCell ref="F21:F29"/>
    <mergeCell ref="G21:G29"/>
    <mergeCell ref="F30:F33"/>
    <mergeCell ref="F57:F58"/>
    <mergeCell ref="G57:G58"/>
    <mergeCell ref="F60:F68"/>
    <mergeCell ref="G60:G68"/>
    <mergeCell ref="C60:C68"/>
    <mergeCell ref="C69:C72"/>
    <mergeCell ref="C73:C76"/>
    <mergeCell ref="F69:F72"/>
    <mergeCell ref="G69:G72"/>
    <mergeCell ref="F73:F76"/>
    <mergeCell ref="A123:A129"/>
    <mergeCell ref="B123:G123"/>
    <mergeCell ref="B124:G124"/>
    <mergeCell ref="C125:E125"/>
    <mergeCell ref="C126:E126"/>
    <mergeCell ref="B127:G127"/>
    <mergeCell ref="A54:A87"/>
    <mergeCell ref="B54:G54"/>
    <mergeCell ref="B55:G55"/>
    <mergeCell ref="B114:B116"/>
    <mergeCell ref="B117:G117"/>
    <mergeCell ref="B84:G84"/>
    <mergeCell ref="B77:G77"/>
    <mergeCell ref="B78:B79"/>
    <mergeCell ref="B80:G80"/>
    <mergeCell ref="C81:E81"/>
    <mergeCell ref="C82:E82"/>
    <mergeCell ref="B56:B76"/>
    <mergeCell ref="C57:C58"/>
    <mergeCell ref="A98:A104"/>
    <mergeCell ref="B98:G98"/>
    <mergeCell ref="B99:G99"/>
    <mergeCell ref="C118:E118"/>
    <mergeCell ref="C119:E119"/>
    <mergeCell ref="B120:G120"/>
    <mergeCell ref="A105:A122"/>
    <mergeCell ref="B105:G105"/>
    <mergeCell ref="B106:G106"/>
    <mergeCell ref="B107:B112"/>
    <mergeCell ref="F107:G107"/>
    <mergeCell ref="C108:C110"/>
    <mergeCell ref="F108:G110"/>
    <mergeCell ref="C111:C112"/>
    <mergeCell ref="F111:G112"/>
    <mergeCell ref="B113:G113"/>
    <mergeCell ref="C100:E100"/>
    <mergeCell ref="C101:E101"/>
    <mergeCell ref="B102:G102"/>
    <mergeCell ref="G73:G76"/>
    <mergeCell ref="C83:E83"/>
    <mergeCell ref="A88:A97"/>
    <mergeCell ref="B88:G88"/>
    <mergeCell ref="B89:G89"/>
    <mergeCell ref="C90:E90"/>
    <mergeCell ref="C91:E91"/>
    <mergeCell ref="B92:G92"/>
    <mergeCell ref="A47:A53"/>
    <mergeCell ref="B47:G47"/>
    <mergeCell ref="B48:G48"/>
    <mergeCell ref="C49:E49"/>
    <mergeCell ref="C50:E50"/>
    <mergeCell ref="B51:G51"/>
    <mergeCell ref="C21:C29"/>
    <mergeCell ref="C30:C33"/>
    <mergeCell ref="F7:G7"/>
    <mergeCell ref="A8:A46"/>
    <mergeCell ref="B8:G8"/>
    <mergeCell ref="B9:G9"/>
    <mergeCell ref="B10:B37"/>
    <mergeCell ref="C11:C19"/>
    <mergeCell ref="C34:C37"/>
    <mergeCell ref="B38:G38"/>
    <mergeCell ref="B39:B40"/>
    <mergeCell ref="B41:G41"/>
    <mergeCell ref="C42:E42"/>
    <mergeCell ref="C43:E43"/>
    <mergeCell ref="B44:G44"/>
    <mergeCell ref="G30:G33"/>
    <mergeCell ref="F6:G6"/>
    <mergeCell ref="F3:G3"/>
    <mergeCell ref="A1:A7"/>
    <mergeCell ref="F1:G1"/>
    <mergeCell ref="F2:G2"/>
    <mergeCell ref="F4:G4"/>
    <mergeCell ref="F5:G5"/>
  </mergeCells>
  <phoneticPr fontId="1" type="noConversion"/>
  <dataValidations disablePrompts="1" count="1">
    <dataValidation type="list" allowBlank="1" showInputMessage="1" showErrorMessage="1" sqref="C2:C7">
      <formula1>"流程图,状态机,等价类划分&amp;数据组合,直接分析"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43"/>
  <sheetViews>
    <sheetView topLeftCell="A56" zoomScaleNormal="100" workbookViewId="0">
      <selection activeCell="B4" sqref="B4:E4"/>
    </sheetView>
  </sheetViews>
  <sheetFormatPr defaultColWidth="9" defaultRowHeight="14" x14ac:dyDescent="0.25"/>
  <cols>
    <col min="1" max="1" width="9.90625" style="61" customWidth="1"/>
    <col min="2" max="2" width="26.90625" style="61" customWidth="1"/>
    <col min="3" max="3" width="20.36328125" style="61" customWidth="1"/>
    <col min="4" max="4" width="21.453125" style="61" customWidth="1"/>
    <col min="5" max="5" width="26.90625" style="61" customWidth="1"/>
    <col min="6" max="6" width="36.1796875" style="61" customWidth="1"/>
    <col min="7" max="7" width="45.7265625" style="61" customWidth="1"/>
    <col min="8" max="15" width="9" style="61" customWidth="1"/>
    <col min="16" max="16384" width="9" style="61"/>
  </cols>
  <sheetData>
    <row r="1" spans="1:7" x14ac:dyDescent="0.25">
      <c r="A1" s="138" t="s">
        <v>100</v>
      </c>
      <c r="B1" s="68" t="s">
        <v>15</v>
      </c>
      <c r="C1" s="68" t="s">
        <v>16</v>
      </c>
      <c r="D1" s="68" t="s">
        <v>17</v>
      </c>
      <c r="E1" s="68" t="s">
        <v>18</v>
      </c>
      <c r="F1" s="111" t="s">
        <v>19</v>
      </c>
      <c r="G1" s="92"/>
    </row>
    <row r="2" spans="1:7" x14ac:dyDescent="0.25">
      <c r="A2" s="109"/>
      <c r="B2" s="55" t="s">
        <v>24</v>
      </c>
      <c r="C2" s="56" t="s">
        <v>25</v>
      </c>
      <c r="D2" s="44"/>
      <c r="E2" s="46">
        <v>8</v>
      </c>
      <c r="F2" s="107" t="s">
        <v>26</v>
      </c>
      <c r="G2" s="84"/>
    </row>
    <row r="3" spans="1:7" x14ac:dyDescent="0.25">
      <c r="A3" s="109"/>
      <c r="B3" s="56" t="s">
        <v>102</v>
      </c>
      <c r="C3" s="56" t="s">
        <v>31</v>
      </c>
      <c r="D3" s="44"/>
      <c r="E3" s="46">
        <v>1</v>
      </c>
      <c r="F3" s="70" t="s">
        <v>103</v>
      </c>
      <c r="G3" s="47"/>
    </row>
    <row r="4" spans="1:7" x14ac:dyDescent="0.25">
      <c r="A4" s="109"/>
      <c r="B4" s="55" t="s">
        <v>204</v>
      </c>
      <c r="C4" s="44" t="s">
        <v>31</v>
      </c>
      <c r="D4" s="44"/>
      <c r="E4" s="46">
        <v>2</v>
      </c>
      <c r="F4" s="107" t="s">
        <v>264</v>
      </c>
      <c r="G4" s="84"/>
    </row>
    <row r="5" spans="1:7" x14ac:dyDescent="0.25">
      <c r="A5" s="109"/>
      <c r="B5" s="44" t="s">
        <v>265</v>
      </c>
      <c r="C5" s="44" t="s">
        <v>28</v>
      </c>
      <c r="D5" s="44"/>
      <c r="E5" s="46">
        <v>8</v>
      </c>
      <c r="F5" s="107" t="s">
        <v>29</v>
      </c>
      <c r="G5" s="84"/>
    </row>
    <row r="6" spans="1:7" x14ac:dyDescent="0.25">
      <c r="A6" s="109"/>
      <c r="B6" s="44" t="s">
        <v>266</v>
      </c>
      <c r="C6" s="44" t="s">
        <v>31</v>
      </c>
      <c r="D6" s="44"/>
      <c r="E6" s="46">
        <v>3</v>
      </c>
      <c r="F6" s="107" t="s">
        <v>267</v>
      </c>
      <c r="G6" s="84"/>
    </row>
    <row r="7" spans="1:7" x14ac:dyDescent="0.25">
      <c r="A7" s="109"/>
      <c r="B7" s="44" t="s">
        <v>268</v>
      </c>
      <c r="C7" s="44" t="s">
        <v>31</v>
      </c>
      <c r="D7" s="44"/>
      <c r="E7" s="46">
        <v>2</v>
      </c>
      <c r="F7" s="107" t="s">
        <v>269</v>
      </c>
      <c r="G7" s="84"/>
    </row>
    <row r="8" spans="1:7" x14ac:dyDescent="0.25">
      <c r="A8" s="109"/>
      <c r="B8" s="44" t="s">
        <v>270</v>
      </c>
      <c r="C8" s="44" t="s">
        <v>31</v>
      </c>
      <c r="D8" s="44"/>
      <c r="E8" s="46">
        <v>2</v>
      </c>
      <c r="F8" s="107" t="s">
        <v>271</v>
      </c>
      <c r="G8" s="84"/>
    </row>
    <row r="9" spans="1:7" x14ac:dyDescent="0.25">
      <c r="A9" s="109"/>
      <c r="B9" s="44" t="s">
        <v>30</v>
      </c>
      <c r="C9" s="44" t="s">
        <v>31</v>
      </c>
      <c r="D9" s="44"/>
      <c r="E9" s="46">
        <v>2</v>
      </c>
      <c r="F9" s="107" t="s">
        <v>32</v>
      </c>
      <c r="G9" s="84"/>
    </row>
    <row r="10" spans="1:7" x14ac:dyDescent="0.25">
      <c r="A10" s="109"/>
      <c r="B10" s="44" t="s">
        <v>33</v>
      </c>
      <c r="C10" s="44" t="s">
        <v>31</v>
      </c>
      <c r="D10" s="44"/>
      <c r="E10" s="46">
        <v>1</v>
      </c>
      <c r="F10" s="107" t="s">
        <v>34</v>
      </c>
      <c r="G10" s="84"/>
    </row>
    <row r="11" spans="1:7" x14ac:dyDescent="0.25">
      <c r="A11" s="109"/>
      <c r="B11" s="44" t="s">
        <v>35</v>
      </c>
      <c r="C11" s="44" t="s">
        <v>31</v>
      </c>
      <c r="D11" s="44"/>
      <c r="E11" s="46">
        <v>3</v>
      </c>
      <c r="F11" s="107" t="s">
        <v>36</v>
      </c>
      <c r="G11" s="84"/>
    </row>
    <row r="12" spans="1:7" x14ac:dyDescent="0.25">
      <c r="A12" s="109"/>
      <c r="B12" s="44" t="s">
        <v>37</v>
      </c>
      <c r="C12" s="44" t="s">
        <v>31</v>
      </c>
      <c r="D12" s="44"/>
      <c r="E12" s="46">
        <v>1</v>
      </c>
      <c r="F12" s="107" t="s">
        <v>38</v>
      </c>
      <c r="G12" s="84"/>
    </row>
    <row r="13" spans="1:7" x14ac:dyDescent="0.25">
      <c r="A13" s="109"/>
      <c r="B13" s="44" t="s">
        <v>39</v>
      </c>
      <c r="C13" s="44" t="s">
        <v>31</v>
      </c>
      <c r="D13" s="44"/>
      <c r="E13" s="46">
        <v>1</v>
      </c>
      <c r="F13" s="107" t="s">
        <v>40</v>
      </c>
      <c r="G13" s="84"/>
    </row>
    <row r="14" spans="1:7" x14ac:dyDescent="0.25">
      <c r="A14" s="109"/>
      <c r="B14" s="44" t="s">
        <v>41</v>
      </c>
      <c r="C14" s="44" t="s">
        <v>31</v>
      </c>
      <c r="D14" s="44"/>
      <c r="E14" s="46">
        <v>1</v>
      </c>
      <c r="F14" s="107" t="s">
        <v>42</v>
      </c>
      <c r="G14" s="84"/>
    </row>
    <row r="15" spans="1:7" x14ac:dyDescent="0.25">
      <c r="A15" s="109"/>
      <c r="B15" s="55" t="s">
        <v>43</v>
      </c>
      <c r="C15" s="44" t="s">
        <v>31</v>
      </c>
      <c r="D15" s="44"/>
      <c r="E15" s="46">
        <v>1</v>
      </c>
      <c r="F15" s="107" t="s">
        <v>44</v>
      </c>
      <c r="G15" s="84"/>
    </row>
    <row r="16" spans="1:7" x14ac:dyDescent="0.25">
      <c r="A16" s="110"/>
      <c r="B16" s="44" t="s">
        <v>45</v>
      </c>
      <c r="C16" s="44" t="s">
        <v>31</v>
      </c>
      <c r="D16" s="44"/>
      <c r="E16" s="46">
        <v>1</v>
      </c>
      <c r="F16" s="107" t="s">
        <v>46</v>
      </c>
      <c r="G16" s="84"/>
    </row>
    <row r="17" spans="1:8" x14ac:dyDescent="0.25">
      <c r="A17" s="114" t="s">
        <v>265</v>
      </c>
      <c r="B17" s="115" t="s">
        <v>272</v>
      </c>
      <c r="C17" s="83"/>
      <c r="D17" s="83"/>
      <c r="E17" s="83"/>
      <c r="F17" s="83"/>
      <c r="G17" s="84"/>
    </row>
    <row r="18" spans="1:8" x14ac:dyDescent="0.25">
      <c r="A18" s="109"/>
      <c r="B18" s="116" t="s">
        <v>273</v>
      </c>
      <c r="C18" s="83"/>
      <c r="D18" s="83"/>
      <c r="E18" s="83"/>
      <c r="F18" s="83"/>
      <c r="G18" s="84"/>
    </row>
    <row r="19" spans="1:8" ht="388.5" customHeight="1" x14ac:dyDescent="0.25">
      <c r="A19" s="109"/>
      <c r="B19" s="139"/>
      <c r="C19" s="83"/>
      <c r="D19" s="83"/>
      <c r="E19" s="83"/>
      <c r="F19" s="83"/>
      <c r="G19" s="84"/>
      <c r="H19" s="49"/>
    </row>
    <row r="20" spans="1:8" x14ac:dyDescent="0.25">
      <c r="A20" s="109"/>
      <c r="B20" s="116" t="s">
        <v>274</v>
      </c>
      <c r="C20" s="83"/>
      <c r="D20" s="83"/>
      <c r="E20" s="83"/>
      <c r="F20" s="83"/>
      <c r="G20" s="84"/>
    </row>
    <row r="21" spans="1:8" x14ac:dyDescent="0.25">
      <c r="A21" s="109"/>
      <c r="B21" s="65" t="s">
        <v>275</v>
      </c>
      <c r="C21" s="127" t="s">
        <v>276</v>
      </c>
      <c r="D21" s="84"/>
      <c r="E21" s="127" t="s">
        <v>277</v>
      </c>
      <c r="F21" s="83"/>
      <c r="G21" s="84"/>
    </row>
    <row r="22" spans="1:8" x14ac:dyDescent="0.25">
      <c r="A22" s="109"/>
      <c r="B22" s="67" t="s">
        <v>278</v>
      </c>
      <c r="C22" s="126" t="s">
        <v>279</v>
      </c>
      <c r="D22" s="84"/>
      <c r="E22" s="128" t="s">
        <v>280</v>
      </c>
      <c r="F22" s="83"/>
      <c r="G22" s="84"/>
    </row>
    <row r="23" spans="1:8" x14ac:dyDescent="0.25">
      <c r="A23" s="109"/>
      <c r="B23" s="67" t="s">
        <v>281</v>
      </c>
      <c r="C23" s="126" t="s">
        <v>282</v>
      </c>
      <c r="D23" s="84"/>
      <c r="E23" s="128" t="s">
        <v>283</v>
      </c>
      <c r="F23" s="83"/>
      <c r="G23" s="84"/>
    </row>
    <row r="24" spans="1:8" ht="14" customHeight="1" x14ac:dyDescent="0.25">
      <c r="A24" s="109"/>
      <c r="B24" s="67" t="s">
        <v>284</v>
      </c>
      <c r="C24" s="126" t="s">
        <v>285</v>
      </c>
      <c r="D24" s="84"/>
      <c r="E24" s="128" t="s">
        <v>286</v>
      </c>
      <c r="F24" s="83"/>
      <c r="G24" s="84"/>
    </row>
    <row r="25" spans="1:8" ht="14" customHeight="1" x14ac:dyDescent="0.25">
      <c r="A25" s="109"/>
      <c r="B25" s="67" t="s">
        <v>287</v>
      </c>
      <c r="C25" s="126" t="s">
        <v>288</v>
      </c>
      <c r="D25" s="84"/>
      <c r="E25" s="128" t="s">
        <v>289</v>
      </c>
      <c r="F25" s="83"/>
      <c r="G25" s="84"/>
    </row>
    <row r="26" spans="1:8" x14ac:dyDescent="0.25">
      <c r="A26" s="109"/>
      <c r="B26" s="116" t="s">
        <v>290</v>
      </c>
      <c r="C26" s="83"/>
      <c r="D26" s="83"/>
      <c r="E26" s="83"/>
      <c r="F26" s="83"/>
      <c r="G26" s="84"/>
    </row>
    <row r="27" spans="1:8" x14ac:dyDescent="0.25">
      <c r="A27" s="109"/>
      <c r="B27" s="117" t="s">
        <v>111</v>
      </c>
      <c r="C27" s="38" t="s">
        <v>19</v>
      </c>
      <c r="D27" s="38" t="s">
        <v>112</v>
      </c>
      <c r="E27" s="38" t="s">
        <v>113</v>
      </c>
      <c r="F27" s="127"/>
      <c r="G27" s="84"/>
    </row>
    <row r="28" spans="1:8" x14ac:dyDescent="0.25">
      <c r="A28" s="109"/>
      <c r="B28" s="97"/>
      <c r="C28" s="126" t="s">
        <v>291</v>
      </c>
      <c r="D28" s="63" t="s">
        <v>292</v>
      </c>
      <c r="E28" s="63"/>
      <c r="F28" s="128" t="s">
        <v>293</v>
      </c>
      <c r="G28" s="101"/>
    </row>
    <row r="29" spans="1:8" x14ac:dyDescent="0.25">
      <c r="A29" s="109"/>
      <c r="B29" s="97"/>
      <c r="C29" s="97"/>
      <c r="D29" s="63" t="s">
        <v>294</v>
      </c>
      <c r="E29" s="63"/>
      <c r="F29" s="102"/>
      <c r="G29" s="104"/>
    </row>
    <row r="30" spans="1:8" x14ac:dyDescent="0.25">
      <c r="A30" s="109"/>
      <c r="B30" s="97"/>
      <c r="C30" s="97"/>
      <c r="D30" s="63" t="s">
        <v>295</v>
      </c>
      <c r="E30" s="63"/>
      <c r="F30" s="102"/>
      <c r="G30" s="104"/>
    </row>
    <row r="31" spans="1:8" x14ac:dyDescent="0.25">
      <c r="A31" s="109"/>
      <c r="B31" s="97"/>
      <c r="C31" s="97"/>
      <c r="D31" s="63" t="s">
        <v>296</v>
      </c>
      <c r="E31" s="63"/>
      <c r="F31" s="102"/>
      <c r="G31" s="104"/>
    </row>
    <row r="32" spans="1:8" x14ac:dyDescent="0.25">
      <c r="A32" s="109"/>
      <c r="B32" s="97"/>
      <c r="C32" s="98"/>
      <c r="D32" s="37" t="s">
        <v>297</v>
      </c>
      <c r="E32" s="63"/>
      <c r="F32" s="105"/>
      <c r="G32" s="106"/>
    </row>
    <row r="33" spans="1:7" x14ac:dyDescent="0.25">
      <c r="A33" s="109"/>
      <c r="B33" s="97"/>
      <c r="C33" s="129" t="s">
        <v>298</v>
      </c>
      <c r="D33" s="63" t="s">
        <v>117</v>
      </c>
      <c r="E33" s="63"/>
      <c r="F33" s="132" t="s">
        <v>299</v>
      </c>
      <c r="G33" s="133"/>
    </row>
    <row r="34" spans="1:7" x14ac:dyDescent="0.25">
      <c r="A34" s="109"/>
      <c r="B34" s="97"/>
      <c r="C34" s="109"/>
      <c r="D34" s="63" t="s">
        <v>121</v>
      </c>
      <c r="E34" s="63"/>
      <c r="F34" s="134"/>
      <c r="G34" s="135"/>
    </row>
    <row r="35" spans="1:7" ht="28" customHeight="1" x14ac:dyDescent="0.25">
      <c r="A35" s="109"/>
      <c r="B35" s="97"/>
      <c r="C35" s="109"/>
      <c r="D35" s="63" t="s">
        <v>123</v>
      </c>
      <c r="E35" s="63"/>
      <c r="F35" s="134"/>
      <c r="G35" s="135"/>
    </row>
    <row r="36" spans="1:7" ht="42" customHeight="1" x14ac:dyDescent="0.25">
      <c r="A36" s="109"/>
      <c r="B36" s="97"/>
      <c r="C36" s="109"/>
      <c r="D36" s="63" t="s">
        <v>125</v>
      </c>
      <c r="E36" s="63"/>
      <c r="F36" s="136"/>
      <c r="G36" s="137"/>
    </row>
    <row r="37" spans="1:7" ht="14" customHeight="1" x14ac:dyDescent="0.25">
      <c r="A37" s="109"/>
      <c r="B37" s="97"/>
      <c r="C37" s="114" t="s">
        <v>137</v>
      </c>
      <c r="D37" s="67" t="s">
        <v>138</v>
      </c>
      <c r="E37" s="67"/>
      <c r="F37" s="132" t="s">
        <v>300</v>
      </c>
      <c r="G37" s="133"/>
    </row>
    <row r="38" spans="1:7" x14ac:dyDescent="0.25">
      <c r="A38" s="109"/>
      <c r="B38" s="97"/>
      <c r="C38" s="109"/>
      <c r="D38" s="67" t="s">
        <v>141</v>
      </c>
      <c r="E38" s="67"/>
      <c r="F38" s="134"/>
      <c r="G38" s="135"/>
    </row>
    <row r="39" spans="1:7" ht="28" customHeight="1" x14ac:dyDescent="0.25">
      <c r="A39" s="109"/>
      <c r="B39" s="97"/>
      <c r="C39" s="109"/>
      <c r="D39" s="63" t="s">
        <v>143</v>
      </c>
      <c r="E39" s="67"/>
      <c r="F39" s="134"/>
      <c r="G39" s="135"/>
    </row>
    <row r="40" spans="1:7" ht="28" customHeight="1" x14ac:dyDescent="0.25">
      <c r="A40" s="109"/>
      <c r="B40" s="97"/>
      <c r="C40" s="110"/>
      <c r="D40" s="63" t="s">
        <v>144</v>
      </c>
      <c r="E40" s="67"/>
      <c r="F40" s="136"/>
      <c r="G40" s="137"/>
    </row>
    <row r="41" spans="1:7" x14ac:dyDescent="0.25">
      <c r="A41" s="109"/>
      <c r="B41" s="97"/>
      <c r="C41" s="114" t="s">
        <v>148</v>
      </c>
      <c r="D41" s="67">
        <v>0</v>
      </c>
      <c r="E41" s="67"/>
      <c r="F41" s="132" t="s">
        <v>301</v>
      </c>
      <c r="G41" s="133"/>
    </row>
    <row r="42" spans="1:7" x14ac:dyDescent="0.25">
      <c r="A42" s="109"/>
      <c r="B42" s="97"/>
      <c r="C42" s="109"/>
      <c r="D42" s="67" t="s">
        <v>150</v>
      </c>
      <c r="E42" s="67"/>
      <c r="F42" s="134"/>
      <c r="G42" s="135"/>
    </row>
    <row r="43" spans="1:7" x14ac:dyDescent="0.25">
      <c r="A43" s="109"/>
      <c r="B43" s="97"/>
      <c r="C43" s="109"/>
      <c r="D43" s="67">
        <v>255</v>
      </c>
      <c r="E43" s="67"/>
      <c r="F43" s="134"/>
      <c r="G43" s="135"/>
    </row>
    <row r="44" spans="1:7" x14ac:dyDescent="0.25">
      <c r="A44" s="109"/>
      <c r="B44" s="97"/>
      <c r="C44" s="110"/>
      <c r="D44" s="67" t="s">
        <v>124</v>
      </c>
      <c r="E44" s="67"/>
      <c r="F44" s="136"/>
      <c r="G44" s="137"/>
    </row>
    <row r="45" spans="1:7" x14ac:dyDescent="0.25">
      <c r="A45" s="109"/>
      <c r="B45" s="97"/>
      <c r="C45" s="114" t="s">
        <v>152</v>
      </c>
      <c r="D45" s="67">
        <v>1</v>
      </c>
      <c r="E45" s="67"/>
      <c r="F45" s="132" t="s">
        <v>302</v>
      </c>
      <c r="G45" s="133"/>
    </row>
    <row r="46" spans="1:7" x14ac:dyDescent="0.25">
      <c r="A46" s="109"/>
      <c r="B46" s="97"/>
      <c r="C46" s="109"/>
      <c r="D46" s="67" t="s">
        <v>154</v>
      </c>
      <c r="E46" s="67"/>
      <c r="F46" s="134"/>
      <c r="G46" s="135"/>
    </row>
    <row r="47" spans="1:7" x14ac:dyDescent="0.25">
      <c r="A47" s="109"/>
      <c r="B47" s="97"/>
      <c r="C47" s="109"/>
      <c r="D47" s="67">
        <v>255</v>
      </c>
      <c r="E47" s="67"/>
      <c r="F47" s="134"/>
      <c r="G47" s="135"/>
    </row>
    <row r="48" spans="1:7" x14ac:dyDescent="0.25">
      <c r="A48" s="109"/>
      <c r="B48" s="98"/>
      <c r="C48" s="110"/>
      <c r="D48" s="67" t="s">
        <v>124</v>
      </c>
      <c r="E48" s="67"/>
      <c r="F48" s="136"/>
      <c r="G48" s="137"/>
    </row>
    <row r="49" spans="1:7" x14ac:dyDescent="0.25">
      <c r="A49" s="109"/>
      <c r="B49" s="116" t="s">
        <v>303</v>
      </c>
      <c r="C49" s="83"/>
      <c r="D49" s="83"/>
      <c r="E49" s="83"/>
      <c r="F49" s="83"/>
      <c r="G49" s="84"/>
    </row>
    <row r="50" spans="1:7" x14ac:dyDescent="0.25">
      <c r="A50" s="109"/>
      <c r="B50" s="117" t="s">
        <v>156</v>
      </c>
      <c r="C50" s="41" t="s">
        <v>304</v>
      </c>
      <c r="D50" s="38" t="s">
        <v>291</v>
      </c>
      <c r="E50" s="38" t="s">
        <v>305</v>
      </c>
      <c r="F50" s="38" t="s">
        <v>159</v>
      </c>
      <c r="G50" s="38" t="s">
        <v>160</v>
      </c>
    </row>
    <row r="51" spans="1:7" x14ac:dyDescent="0.25">
      <c r="A51" s="109"/>
      <c r="B51" s="97"/>
      <c r="C51" s="114" t="s">
        <v>306</v>
      </c>
      <c r="D51" s="63" t="s">
        <v>292</v>
      </c>
      <c r="E51" s="63" t="s">
        <v>278</v>
      </c>
      <c r="F51" s="132" t="s">
        <v>307</v>
      </c>
      <c r="G51" s="114"/>
    </row>
    <row r="52" spans="1:7" x14ac:dyDescent="0.25">
      <c r="A52" s="109"/>
      <c r="B52" s="97"/>
      <c r="C52" s="109"/>
      <c r="D52" s="63" t="s">
        <v>294</v>
      </c>
      <c r="E52" s="63" t="s">
        <v>281</v>
      </c>
      <c r="F52" s="109"/>
      <c r="G52" s="109"/>
    </row>
    <row r="53" spans="1:7" x14ac:dyDescent="0.25">
      <c r="A53" s="109"/>
      <c r="B53" s="97"/>
      <c r="C53" s="109"/>
      <c r="D53" s="63" t="s">
        <v>295</v>
      </c>
      <c r="E53" s="63" t="s">
        <v>284</v>
      </c>
      <c r="F53" s="109"/>
      <c r="G53" s="109"/>
    </row>
    <row r="54" spans="1:7" x14ac:dyDescent="0.25">
      <c r="A54" s="109"/>
      <c r="B54" s="97"/>
      <c r="C54" s="110"/>
      <c r="D54" s="63" t="s">
        <v>296</v>
      </c>
      <c r="E54" s="63" t="s">
        <v>287</v>
      </c>
      <c r="F54" s="110"/>
      <c r="G54" s="110"/>
    </row>
    <row r="55" spans="1:7" ht="42" customHeight="1" x14ac:dyDescent="0.25">
      <c r="A55" s="109"/>
      <c r="B55" s="97"/>
      <c r="C55" s="62" t="s">
        <v>298</v>
      </c>
      <c r="D55" s="63" t="s">
        <v>308</v>
      </c>
      <c r="E55" s="63"/>
      <c r="F55" s="63" t="s">
        <v>309</v>
      </c>
      <c r="G55" s="63"/>
    </row>
    <row r="56" spans="1:7" ht="28" customHeight="1" x14ac:dyDescent="0.25">
      <c r="A56" s="109"/>
      <c r="B56" s="97"/>
      <c r="C56" s="62" t="s">
        <v>148</v>
      </c>
      <c r="D56" s="63" t="s">
        <v>310</v>
      </c>
      <c r="E56" s="63"/>
      <c r="F56" s="63" t="s">
        <v>309</v>
      </c>
      <c r="G56" s="63"/>
    </row>
    <row r="57" spans="1:7" ht="28" customHeight="1" x14ac:dyDescent="0.25">
      <c r="A57" s="109"/>
      <c r="B57" s="98"/>
      <c r="C57" s="62" t="s">
        <v>152</v>
      </c>
      <c r="D57" s="63" t="s">
        <v>311</v>
      </c>
      <c r="E57" s="63"/>
      <c r="F57" s="63" t="s">
        <v>309</v>
      </c>
      <c r="G57" s="63"/>
    </row>
    <row r="58" spans="1:7" x14ac:dyDescent="0.25">
      <c r="A58" s="109"/>
      <c r="B58" s="116" t="s">
        <v>162</v>
      </c>
      <c r="C58" s="83"/>
      <c r="D58" s="83"/>
      <c r="E58" s="83"/>
      <c r="F58" s="83"/>
      <c r="G58" s="84"/>
    </row>
    <row r="59" spans="1:7" x14ac:dyDescent="0.25">
      <c r="A59" s="109"/>
      <c r="B59" s="65" t="s">
        <v>163</v>
      </c>
      <c r="C59" s="116" t="s">
        <v>164</v>
      </c>
      <c r="D59" s="83"/>
      <c r="E59" s="84"/>
      <c r="F59" s="39" t="s">
        <v>165</v>
      </c>
      <c r="G59" s="39" t="s">
        <v>166</v>
      </c>
    </row>
    <row r="60" spans="1:7" ht="42" customHeight="1" x14ac:dyDescent="0.25">
      <c r="A60" s="109"/>
      <c r="B60" s="43" t="s">
        <v>312</v>
      </c>
      <c r="C60" s="118" t="s">
        <v>313</v>
      </c>
      <c r="D60" s="83"/>
      <c r="E60" s="84"/>
      <c r="F60" s="44" t="s">
        <v>314</v>
      </c>
      <c r="G60" s="36" t="s">
        <v>315</v>
      </c>
    </row>
    <row r="61" spans="1:7" ht="56" customHeight="1" x14ac:dyDescent="0.25">
      <c r="A61" s="109"/>
      <c r="B61" s="43" t="s">
        <v>316</v>
      </c>
      <c r="C61" s="118" t="s">
        <v>317</v>
      </c>
      <c r="D61" s="83"/>
      <c r="E61" s="84"/>
      <c r="F61" s="44" t="s">
        <v>314</v>
      </c>
      <c r="G61" s="36" t="s">
        <v>318</v>
      </c>
    </row>
    <row r="62" spans="1:7" ht="42" customHeight="1" x14ac:dyDescent="0.25">
      <c r="A62" s="109"/>
      <c r="B62" s="43" t="s">
        <v>319</v>
      </c>
      <c r="C62" s="118" t="s">
        <v>320</v>
      </c>
      <c r="D62" s="83"/>
      <c r="E62" s="84"/>
      <c r="F62" s="44" t="s">
        <v>314</v>
      </c>
      <c r="G62" s="36" t="s">
        <v>321</v>
      </c>
    </row>
    <row r="63" spans="1:7" ht="56" customHeight="1" x14ac:dyDescent="0.25">
      <c r="A63" s="109"/>
      <c r="B63" s="43" t="s">
        <v>322</v>
      </c>
      <c r="C63" s="118" t="s">
        <v>323</v>
      </c>
      <c r="D63" s="83"/>
      <c r="E63" s="84"/>
      <c r="F63" s="44" t="s">
        <v>314</v>
      </c>
      <c r="G63" s="36" t="s">
        <v>324</v>
      </c>
    </row>
    <row r="64" spans="1:7" x14ac:dyDescent="0.25">
      <c r="A64" s="109"/>
      <c r="B64" s="119" t="s">
        <v>171</v>
      </c>
      <c r="C64" s="83"/>
      <c r="D64" s="83"/>
      <c r="E64" s="83"/>
      <c r="F64" s="83"/>
      <c r="G64" s="84"/>
    </row>
    <row r="65" spans="1:7" x14ac:dyDescent="0.25">
      <c r="A65" s="109"/>
      <c r="B65" s="38" t="s">
        <v>163</v>
      </c>
      <c r="C65" s="38" t="s">
        <v>172</v>
      </c>
      <c r="D65" s="38" t="s">
        <v>19</v>
      </c>
      <c r="E65" s="38" t="s">
        <v>173</v>
      </c>
      <c r="F65" s="38" t="s">
        <v>174</v>
      </c>
      <c r="G65" s="38" t="s">
        <v>175</v>
      </c>
    </row>
    <row r="66" spans="1:7" ht="70" customHeight="1" x14ac:dyDescent="0.25">
      <c r="A66" s="109"/>
      <c r="B66" s="40" t="s">
        <v>312</v>
      </c>
      <c r="C66" s="40" t="s">
        <v>325</v>
      </c>
      <c r="D66" s="40" t="s">
        <v>315</v>
      </c>
      <c r="E66" s="40" t="s">
        <v>177</v>
      </c>
      <c r="F66" s="18" t="s">
        <v>326</v>
      </c>
      <c r="G66" s="18" t="s">
        <v>327</v>
      </c>
    </row>
    <row r="67" spans="1:7" ht="112" customHeight="1" x14ac:dyDescent="0.25">
      <c r="A67" s="109"/>
      <c r="B67" s="40" t="s">
        <v>316</v>
      </c>
      <c r="C67" s="40" t="s">
        <v>328</v>
      </c>
      <c r="D67" s="40" t="s">
        <v>329</v>
      </c>
      <c r="E67" s="40" t="s">
        <v>177</v>
      </c>
      <c r="F67" s="18" t="s">
        <v>330</v>
      </c>
      <c r="G67" s="18" t="s">
        <v>327</v>
      </c>
    </row>
    <row r="68" spans="1:7" ht="70" customHeight="1" x14ac:dyDescent="0.25">
      <c r="A68" s="109"/>
      <c r="B68" s="40" t="s">
        <v>319</v>
      </c>
      <c r="C68" s="40" t="s">
        <v>331</v>
      </c>
      <c r="D68" s="40" t="s">
        <v>321</v>
      </c>
      <c r="E68" s="40" t="s">
        <v>177</v>
      </c>
      <c r="F68" s="18" t="s">
        <v>332</v>
      </c>
      <c r="G68" s="18" t="s">
        <v>333</v>
      </c>
    </row>
    <row r="69" spans="1:7" ht="112" customHeight="1" x14ac:dyDescent="0.25">
      <c r="A69" s="110"/>
      <c r="B69" s="40" t="s">
        <v>322</v>
      </c>
      <c r="C69" s="40" t="s">
        <v>334</v>
      </c>
      <c r="D69" s="40" t="s">
        <v>335</v>
      </c>
      <c r="E69" s="40" t="s">
        <v>177</v>
      </c>
      <c r="F69" s="18" t="s">
        <v>336</v>
      </c>
      <c r="G69" s="18" t="s">
        <v>333</v>
      </c>
    </row>
    <row r="70" spans="1:7" x14ac:dyDescent="0.25">
      <c r="A70" s="114" t="s">
        <v>266</v>
      </c>
      <c r="B70" s="121" t="s">
        <v>180</v>
      </c>
      <c r="C70" s="91"/>
      <c r="D70" s="91"/>
      <c r="E70" s="91"/>
      <c r="F70" s="91"/>
      <c r="G70" s="92"/>
    </row>
    <row r="71" spans="1:7" x14ac:dyDescent="0.25">
      <c r="A71" s="109"/>
      <c r="B71" s="122" t="s">
        <v>181</v>
      </c>
      <c r="C71" s="91"/>
      <c r="D71" s="91"/>
      <c r="E71" s="91"/>
      <c r="F71" s="91"/>
      <c r="G71" s="92"/>
    </row>
    <row r="72" spans="1:7" x14ac:dyDescent="0.25">
      <c r="A72" s="109"/>
      <c r="B72" s="64" t="s">
        <v>163</v>
      </c>
      <c r="C72" s="122" t="s">
        <v>164</v>
      </c>
      <c r="D72" s="91"/>
      <c r="E72" s="92"/>
      <c r="F72" s="34" t="s">
        <v>165</v>
      </c>
      <c r="G72" s="34" t="s">
        <v>166</v>
      </c>
    </row>
    <row r="73" spans="1:7" ht="44.65" customHeight="1" x14ac:dyDescent="0.25">
      <c r="A73" s="109"/>
      <c r="B73" s="20" t="s">
        <v>337</v>
      </c>
      <c r="C73" s="123" t="s">
        <v>338</v>
      </c>
      <c r="D73" s="91"/>
      <c r="E73" s="92"/>
      <c r="F73" s="17" t="s">
        <v>228</v>
      </c>
      <c r="G73" s="15" t="s">
        <v>339</v>
      </c>
    </row>
    <row r="74" spans="1:7" x14ac:dyDescent="0.25">
      <c r="A74" s="109"/>
      <c r="B74" s="124" t="s">
        <v>183</v>
      </c>
      <c r="C74" s="91"/>
      <c r="D74" s="91"/>
      <c r="E74" s="91"/>
      <c r="F74" s="91"/>
      <c r="G74" s="92"/>
    </row>
    <row r="75" spans="1:7" x14ac:dyDescent="0.25">
      <c r="A75" s="109"/>
      <c r="B75" s="21" t="s">
        <v>163</v>
      </c>
      <c r="C75" s="21" t="s">
        <v>172</v>
      </c>
      <c r="D75" s="21" t="s">
        <v>19</v>
      </c>
      <c r="E75" s="21" t="s">
        <v>173</v>
      </c>
      <c r="F75" s="21" t="s">
        <v>174</v>
      </c>
      <c r="G75" s="21" t="s">
        <v>175</v>
      </c>
    </row>
    <row r="76" spans="1:7" ht="42" customHeight="1" x14ac:dyDescent="0.25">
      <c r="A76" s="110"/>
      <c r="B76" s="18" t="s">
        <v>337</v>
      </c>
      <c r="C76" s="18" t="s">
        <v>340</v>
      </c>
      <c r="D76" s="18" t="s">
        <v>339</v>
      </c>
      <c r="E76" s="18" t="s">
        <v>177</v>
      </c>
      <c r="F76" s="18" t="s">
        <v>341</v>
      </c>
      <c r="G76" s="18" t="s">
        <v>342</v>
      </c>
    </row>
    <row r="77" spans="1:7" ht="24" customHeight="1" x14ac:dyDescent="0.25">
      <c r="A77" s="114" t="s">
        <v>343</v>
      </c>
      <c r="B77" s="121" t="s">
        <v>180</v>
      </c>
      <c r="C77" s="91"/>
      <c r="D77" s="91"/>
      <c r="E77" s="91"/>
      <c r="F77" s="91"/>
      <c r="G77" s="92"/>
    </row>
    <row r="78" spans="1:7" ht="24" customHeight="1" x14ac:dyDescent="0.25">
      <c r="A78" s="109"/>
      <c r="B78" s="122" t="s">
        <v>181</v>
      </c>
      <c r="C78" s="91"/>
      <c r="D78" s="91"/>
      <c r="E78" s="91"/>
      <c r="F78" s="91"/>
      <c r="G78" s="92"/>
    </row>
    <row r="79" spans="1:7" ht="24" customHeight="1" x14ac:dyDescent="0.25">
      <c r="A79" s="109"/>
      <c r="B79" s="64" t="s">
        <v>163</v>
      </c>
      <c r="C79" s="122" t="s">
        <v>164</v>
      </c>
      <c r="D79" s="91"/>
      <c r="E79" s="92"/>
      <c r="F79" s="34" t="s">
        <v>165</v>
      </c>
      <c r="G79" s="34" t="s">
        <v>166</v>
      </c>
    </row>
    <row r="80" spans="1:7" ht="24" customHeight="1" x14ac:dyDescent="0.25">
      <c r="A80" s="109"/>
      <c r="B80" s="20" t="s">
        <v>344</v>
      </c>
      <c r="C80" s="123" t="s">
        <v>345</v>
      </c>
      <c r="D80" s="91"/>
      <c r="E80" s="92"/>
      <c r="F80" s="17" t="s">
        <v>228</v>
      </c>
      <c r="G80" s="15" t="s">
        <v>346</v>
      </c>
    </row>
    <row r="81" spans="1:7" ht="24" customHeight="1" x14ac:dyDescent="0.25">
      <c r="A81" s="109"/>
      <c r="B81" s="124" t="s">
        <v>183</v>
      </c>
      <c r="C81" s="91"/>
      <c r="D81" s="91"/>
      <c r="E81" s="91"/>
      <c r="F81" s="91"/>
      <c r="G81" s="92"/>
    </row>
    <row r="82" spans="1:7" ht="24" customHeight="1" x14ac:dyDescent="0.25">
      <c r="A82" s="109"/>
      <c r="B82" s="21" t="s">
        <v>163</v>
      </c>
      <c r="C82" s="21" t="s">
        <v>172</v>
      </c>
      <c r="D82" s="21" t="s">
        <v>19</v>
      </c>
      <c r="E82" s="21" t="s">
        <v>173</v>
      </c>
      <c r="F82" s="21" t="s">
        <v>174</v>
      </c>
      <c r="G82" s="21" t="s">
        <v>175</v>
      </c>
    </row>
    <row r="83" spans="1:7" ht="112" customHeight="1" x14ac:dyDescent="0.25">
      <c r="A83" s="110"/>
      <c r="B83" s="18" t="s">
        <v>344</v>
      </c>
      <c r="C83" s="18" t="s">
        <v>345</v>
      </c>
      <c r="D83" s="18" t="s">
        <v>346</v>
      </c>
      <c r="E83" s="52" t="s">
        <v>177</v>
      </c>
      <c r="F83" s="18" t="s">
        <v>347</v>
      </c>
      <c r="G83" s="18" t="s">
        <v>348</v>
      </c>
    </row>
    <row r="84" spans="1:7" x14ac:dyDescent="0.25">
      <c r="A84" s="114" t="s">
        <v>268</v>
      </c>
      <c r="B84" s="121" t="s">
        <v>180</v>
      </c>
      <c r="C84" s="91"/>
      <c r="D84" s="91"/>
      <c r="E84" s="91"/>
      <c r="F84" s="91"/>
      <c r="G84" s="92"/>
    </row>
    <row r="85" spans="1:7" x14ac:dyDescent="0.25">
      <c r="A85" s="109"/>
      <c r="B85" s="122" t="s">
        <v>181</v>
      </c>
      <c r="C85" s="91"/>
      <c r="D85" s="91"/>
      <c r="E85" s="91"/>
      <c r="F85" s="91"/>
      <c r="G85" s="92"/>
    </row>
    <row r="86" spans="1:7" x14ac:dyDescent="0.25">
      <c r="A86" s="109"/>
      <c r="B86" s="64" t="s">
        <v>163</v>
      </c>
      <c r="C86" s="122" t="s">
        <v>164</v>
      </c>
      <c r="D86" s="91"/>
      <c r="E86" s="92"/>
      <c r="F86" s="34" t="s">
        <v>165</v>
      </c>
      <c r="G86" s="34" t="s">
        <v>166</v>
      </c>
    </row>
    <row r="87" spans="1:7" ht="56" customHeight="1" x14ac:dyDescent="0.25">
      <c r="A87" s="109"/>
      <c r="B87" s="20" t="s">
        <v>337</v>
      </c>
      <c r="C87" s="123" t="s">
        <v>338</v>
      </c>
      <c r="D87" s="91"/>
      <c r="E87" s="92"/>
      <c r="F87" s="17" t="s">
        <v>228</v>
      </c>
      <c r="G87" s="15" t="s">
        <v>349</v>
      </c>
    </row>
    <row r="88" spans="1:7" x14ac:dyDescent="0.25">
      <c r="A88" s="109"/>
      <c r="B88" s="124" t="s">
        <v>183</v>
      </c>
      <c r="C88" s="91"/>
      <c r="D88" s="91"/>
      <c r="E88" s="91"/>
      <c r="F88" s="91"/>
      <c r="G88" s="92"/>
    </row>
    <row r="89" spans="1:7" x14ac:dyDescent="0.25">
      <c r="A89" s="109"/>
      <c r="B89" s="21" t="s">
        <v>163</v>
      </c>
      <c r="C89" s="21" t="s">
        <v>172</v>
      </c>
      <c r="D89" s="21" t="s">
        <v>19</v>
      </c>
      <c r="E89" s="21" t="s">
        <v>173</v>
      </c>
      <c r="F89" s="21" t="s">
        <v>174</v>
      </c>
      <c r="G89" s="21" t="s">
        <v>175</v>
      </c>
    </row>
    <row r="90" spans="1:7" ht="56" customHeight="1" x14ac:dyDescent="0.25">
      <c r="A90" s="110"/>
      <c r="B90" s="18" t="s">
        <v>350</v>
      </c>
      <c r="C90" s="18" t="s">
        <v>351</v>
      </c>
      <c r="D90" s="18" t="s">
        <v>352</v>
      </c>
      <c r="E90" s="18" t="s">
        <v>177</v>
      </c>
      <c r="F90" s="18" t="s">
        <v>341</v>
      </c>
      <c r="G90" s="18" t="s">
        <v>353</v>
      </c>
    </row>
    <row r="91" spans="1:7" x14ac:dyDescent="0.25">
      <c r="A91" s="114" t="s">
        <v>354</v>
      </c>
      <c r="B91" s="121" t="s">
        <v>180</v>
      </c>
      <c r="C91" s="91"/>
      <c r="D91" s="91"/>
      <c r="E91" s="91"/>
      <c r="F91" s="91"/>
      <c r="G91" s="92"/>
    </row>
    <row r="92" spans="1:7" x14ac:dyDescent="0.25">
      <c r="A92" s="109"/>
      <c r="B92" s="122" t="s">
        <v>181</v>
      </c>
      <c r="C92" s="91"/>
      <c r="D92" s="91"/>
      <c r="E92" s="91"/>
      <c r="F92" s="91"/>
      <c r="G92" s="92"/>
    </row>
    <row r="93" spans="1:7" x14ac:dyDescent="0.25">
      <c r="A93" s="109"/>
      <c r="B93" s="64" t="s">
        <v>163</v>
      </c>
      <c r="C93" s="122" t="s">
        <v>164</v>
      </c>
      <c r="D93" s="91"/>
      <c r="E93" s="92"/>
      <c r="F93" s="34" t="s">
        <v>165</v>
      </c>
      <c r="G93" s="34" t="s">
        <v>166</v>
      </c>
    </row>
    <row r="94" spans="1:7" x14ac:dyDescent="0.25">
      <c r="A94" s="109"/>
      <c r="B94" s="20" t="s">
        <v>355</v>
      </c>
      <c r="C94" s="123" t="s">
        <v>227</v>
      </c>
      <c r="D94" s="91"/>
      <c r="E94" s="92"/>
      <c r="F94" s="17" t="s">
        <v>228</v>
      </c>
      <c r="G94" s="15"/>
    </row>
    <row r="95" spans="1:7" ht="28" customHeight="1" x14ac:dyDescent="0.25">
      <c r="A95" s="109"/>
      <c r="B95" s="20" t="s">
        <v>356</v>
      </c>
      <c r="C95" s="123" t="s">
        <v>357</v>
      </c>
      <c r="D95" s="91"/>
      <c r="E95" s="92"/>
      <c r="F95" s="17" t="s">
        <v>228</v>
      </c>
      <c r="G95" s="15" t="s">
        <v>358</v>
      </c>
    </row>
    <row r="96" spans="1:7" ht="28" customHeight="1" x14ac:dyDescent="0.25">
      <c r="A96" s="109"/>
      <c r="B96" s="20" t="s">
        <v>359</v>
      </c>
      <c r="C96" s="123" t="s">
        <v>357</v>
      </c>
      <c r="D96" s="91"/>
      <c r="E96" s="92"/>
      <c r="F96" s="17" t="s">
        <v>228</v>
      </c>
      <c r="G96" s="15" t="s">
        <v>358</v>
      </c>
    </row>
    <row r="97" spans="1:7" x14ac:dyDescent="0.25">
      <c r="A97" s="109"/>
      <c r="B97" s="124" t="s">
        <v>183</v>
      </c>
      <c r="C97" s="91"/>
      <c r="D97" s="91"/>
      <c r="E97" s="91"/>
      <c r="F97" s="91"/>
      <c r="G97" s="92"/>
    </row>
    <row r="98" spans="1:7" x14ac:dyDescent="0.25">
      <c r="A98" s="109"/>
      <c r="B98" s="21" t="s">
        <v>163</v>
      </c>
      <c r="C98" s="21" t="s">
        <v>172</v>
      </c>
      <c r="D98" s="21" t="s">
        <v>19</v>
      </c>
      <c r="E98" s="21" t="s">
        <v>173</v>
      </c>
      <c r="F98" s="21" t="s">
        <v>174</v>
      </c>
      <c r="G98" s="21" t="s">
        <v>175</v>
      </c>
    </row>
    <row r="99" spans="1:7" ht="112" customHeight="1" x14ac:dyDescent="0.25">
      <c r="A99" s="109"/>
      <c r="B99" s="18" t="s">
        <v>355</v>
      </c>
      <c r="C99" s="18" t="s">
        <v>360</v>
      </c>
      <c r="D99" s="18" t="s">
        <v>361</v>
      </c>
      <c r="E99" s="18" t="s">
        <v>177</v>
      </c>
      <c r="F99" s="18" t="s">
        <v>362</v>
      </c>
      <c r="G99" s="18" t="s">
        <v>363</v>
      </c>
    </row>
    <row r="100" spans="1:7" ht="70" customHeight="1" x14ac:dyDescent="0.25">
      <c r="A100" s="109"/>
      <c r="B100" s="18" t="s">
        <v>356</v>
      </c>
      <c r="C100" s="18" t="s">
        <v>364</v>
      </c>
      <c r="D100" s="18" t="s">
        <v>365</v>
      </c>
      <c r="E100" s="18" t="s">
        <v>177</v>
      </c>
      <c r="F100" s="18" t="s">
        <v>366</v>
      </c>
      <c r="G100" s="18" t="s">
        <v>367</v>
      </c>
    </row>
    <row r="101" spans="1:7" ht="112" customHeight="1" x14ac:dyDescent="0.25">
      <c r="A101" s="110"/>
      <c r="B101" s="18" t="s">
        <v>359</v>
      </c>
      <c r="C101" s="18" t="s">
        <v>368</v>
      </c>
      <c r="D101" s="18" t="s">
        <v>361</v>
      </c>
      <c r="E101" s="18" t="s">
        <v>177</v>
      </c>
      <c r="F101" s="18" t="s">
        <v>369</v>
      </c>
      <c r="G101" s="18" t="s">
        <v>370</v>
      </c>
    </row>
    <row r="102" spans="1:7" x14ac:dyDescent="0.25">
      <c r="A102" s="114" t="s">
        <v>30</v>
      </c>
      <c r="B102" s="121" t="s">
        <v>180</v>
      </c>
      <c r="C102" s="91"/>
      <c r="D102" s="91"/>
      <c r="E102" s="91"/>
      <c r="F102" s="91"/>
      <c r="G102" s="92"/>
    </row>
    <row r="103" spans="1:7" x14ac:dyDescent="0.25">
      <c r="A103" s="109"/>
      <c r="B103" s="122" t="s">
        <v>181</v>
      </c>
      <c r="C103" s="91"/>
      <c r="D103" s="91"/>
      <c r="E103" s="91"/>
      <c r="F103" s="91"/>
      <c r="G103" s="92"/>
    </row>
    <row r="104" spans="1:7" x14ac:dyDescent="0.25">
      <c r="A104" s="109"/>
      <c r="B104" s="64" t="s">
        <v>163</v>
      </c>
      <c r="C104" s="122" t="s">
        <v>164</v>
      </c>
      <c r="D104" s="91"/>
      <c r="E104" s="92"/>
      <c r="F104" s="34" t="s">
        <v>165</v>
      </c>
      <c r="G104" s="34" t="s">
        <v>166</v>
      </c>
    </row>
    <row r="105" spans="1:7" ht="28" customHeight="1" x14ac:dyDescent="0.25">
      <c r="A105" s="109"/>
      <c r="B105" s="20" t="s">
        <v>226</v>
      </c>
      <c r="C105" s="123" t="s">
        <v>227</v>
      </c>
      <c r="D105" s="91"/>
      <c r="E105" s="92"/>
      <c r="F105" s="17" t="s">
        <v>228</v>
      </c>
      <c r="G105" s="15" t="s">
        <v>229</v>
      </c>
    </row>
    <row r="106" spans="1:7" x14ac:dyDescent="0.25">
      <c r="A106" s="109"/>
      <c r="B106" s="124" t="s">
        <v>183</v>
      </c>
      <c r="C106" s="91"/>
      <c r="D106" s="91"/>
      <c r="E106" s="91"/>
      <c r="F106" s="91"/>
      <c r="G106" s="92"/>
    </row>
    <row r="107" spans="1:7" x14ac:dyDescent="0.25">
      <c r="A107" s="109"/>
      <c r="B107" s="21" t="s">
        <v>163</v>
      </c>
      <c r="C107" s="21" t="s">
        <v>172</v>
      </c>
      <c r="D107" s="21" t="s">
        <v>19</v>
      </c>
      <c r="E107" s="21" t="s">
        <v>173</v>
      </c>
      <c r="F107" s="21" t="s">
        <v>174</v>
      </c>
      <c r="G107" s="21" t="s">
        <v>175</v>
      </c>
    </row>
    <row r="108" spans="1:7" ht="56" customHeight="1" x14ac:dyDescent="0.25">
      <c r="A108" s="110"/>
      <c r="B108" s="18" t="s">
        <v>226</v>
      </c>
      <c r="C108" s="18" t="s">
        <v>371</v>
      </c>
      <c r="D108" s="18" t="s">
        <v>229</v>
      </c>
      <c r="E108" s="18" t="s">
        <v>177</v>
      </c>
      <c r="F108" s="18" t="s">
        <v>372</v>
      </c>
      <c r="G108" s="18" t="s">
        <v>373</v>
      </c>
    </row>
    <row r="109" spans="1:7" x14ac:dyDescent="0.25">
      <c r="A109" s="114" t="s">
        <v>374</v>
      </c>
      <c r="B109" s="121" t="s">
        <v>180</v>
      </c>
      <c r="C109" s="91"/>
      <c r="D109" s="91"/>
      <c r="E109" s="91"/>
      <c r="F109" s="91"/>
      <c r="G109" s="92"/>
    </row>
    <row r="110" spans="1:7" x14ac:dyDescent="0.25">
      <c r="A110" s="109"/>
      <c r="B110" s="122" t="s">
        <v>181</v>
      </c>
      <c r="C110" s="91"/>
      <c r="D110" s="91"/>
      <c r="E110" s="91"/>
      <c r="F110" s="91"/>
      <c r="G110" s="92"/>
    </row>
    <row r="111" spans="1:7" x14ac:dyDescent="0.25">
      <c r="A111" s="109"/>
      <c r="B111" s="64" t="s">
        <v>163</v>
      </c>
      <c r="C111" s="122" t="s">
        <v>164</v>
      </c>
      <c r="D111" s="91"/>
      <c r="E111" s="92"/>
      <c r="F111" s="34" t="s">
        <v>165</v>
      </c>
      <c r="G111" s="34" t="s">
        <v>166</v>
      </c>
    </row>
    <row r="112" spans="1:7" x14ac:dyDescent="0.25">
      <c r="A112" s="109"/>
      <c r="B112" s="42"/>
      <c r="C112" s="131" t="s">
        <v>375</v>
      </c>
      <c r="D112" s="91"/>
      <c r="E112" s="92"/>
      <c r="F112" s="17"/>
      <c r="G112" s="15"/>
    </row>
    <row r="113" spans="1:7" x14ac:dyDescent="0.25">
      <c r="A113" s="109"/>
      <c r="B113" s="124" t="s">
        <v>183</v>
      </c>
      <c r="C113" s="91"/>
      <c r="D113" s="91"/>
      <c r="E113" s="91"/>
      <c r="F113" s="91"/>
      <c r="G113" s="92"/>
    </row>
    <row r="114" spans="1:7" x14ac:dyDescent="0.25">
      <c r="A114" s="109"/>
      <c r="B114" s="21" t="s">
        <v>163</v>
      </c>
      <c r="C114" s="21" t="s">
        <v>172</v>
      </c>
      <c r="D114" s="21" t="s">
        <v>19</v>
      </c>
      <c r="E114" s="21" t="s">
        <v>173</v>
      </c>
      <c r="F114" s="21" t="s">
        <v>174</v>
      </c>
      <c r="G114" s="21" t="s">
        <v>175</v>
      </c>
    </row>
    <row r="115" spans="1:7" x14ac:dyDescent="0.25">
      <c r="A115" s="110"/>
      <c r="B115" s="18"/>
      <c r="C115" s="18"/>
      <c r="D115" s="18"/>
      <c r="E115" s="18"/>
      <c r="F115" s="18"/>
      <c r="G115" s="18"/>
    </row>
    <row r="116" spans="1:7" x14ac:dyDescent="0.25">
      <c r="A116" s="114" t="s">
        <v>35</v>
      </c>
      <c r="B116" s="121" t="s">
        <v>180</v>
      </c>
      <c r="C116" s="91"/>
      <c r="D116" s="91"/>
      <c r="E116" s="91"/>
      <c r="F116" s="91"/>
      <c r="G116" s="92"/>
    </row>
    <row r="117" spans="1:7" x14ac:dyDescent="0.25">
      <c r="A117" s="109"/>
      <c r="B117" s="122" t="s">
        <v>181</v>
      </c>
      <c r="C117" s="91"/>
      <c r="D117" s="91"/>
      <c r="E117" s="91"/>
      <c r="F117" s="91"/>
      <c r="G117" s="92"/>
    </row>
    <row r="118" spans="1:7" x14ac:dyDescent="0.25">
      <c r="A118" s="109"/>
      <c r="B118" s="64" t="s">
        <v>163</v>
      </c>
      <c r="C118" s="122" t="s">
        <v>164</v>
      </c>
      <c r="D118" s="91"/>
      <c r="E118" s="92"/>
      <c r="F118" s="34" t="s">
        <v>165</v>
      </c>
      <c r="G118" s="34" t="s">
        <v>166</v>
      </c>
    </row>
    <row r="119" spans="1:7" x14ac:dyDescent="0.25">
      <c r="A119" s="109"/>
      <c r="B119" s="20" t="s">
        <v>376</v>
      </c>
      <c r="C119" s="123" t="s">
        <v>377</v>
      </c>
      <c r="D119" s="91"/>
      <c r="E119" s="92"/>
      <c r="F119" s="17"/>
      <c r="G119" s="15" t="s">
        <v>378</v>
      </c>
    </row>
    <row r="120" spans="1:7" x14ac:dyDescent="0.25">
      <c r="A120" s="109"/>
      <c r="B120" s="124" t="s">
        <v>183</v>
      </c>
      <c r="C120" s="91"/>
      <c r="D120" s="91"/>
      <c r="E120" s="91"/>
      <c r="F120" s="91"/>
      <c r="G120" s="92"/>
    </row>
    <row r="121" spans="1:7" x14ac:dyDescent="0.25">
      <c r="A121" s="109"/>
      <c r="B121" s="21" t="s">
        <v>163</v>
      </c>
      <c r="C121" s="21" t="s">
        <v>172</v>
      </c>
      <c r="D121" s="21" t="s">
        <v>19</v>
      </c>
      <c r="E121" s="21" t="s">
        <v>173</v>
      </c>
      <c r="F121" s="21" t="s">
        <v>174</v>
      </c>
      <c r="G121" s="21" t="s">
        <v>175</v>
      </c>
    </row>
    <row r="122" spans="1:7" ht="112" customHeight="1" x14ac:dyDescent="0.25">
      <c r="A122" s="110"/>
      <c r="B122" s="40" t="s">
        <v>376</v>
      </c>
      <c r="C122" s="40" t="s">
        <v>377</v>
      </c>
      <c r="D122" s="40" t="s">
        <v>378</v>
      </c>
      <c r="E122" s="40" t="s">
        <v>261</v>
      </c>
      <c r="F122" s="40" t="s">
        <v>379</v>
      </c>
      <c r="G122" s="40" t="s">
        <v>380</v>
      </c>
    </row>
    <row r="123" spans="1:7" x14ac:dyDescent="0.25">
      <c r="A123" s="114" t="s">
        <v>37</v>
      </c>
      <c r="B123" s="121" t="s">
        <v>180</v>
      </c>
      <c r="C123" s="91"/>
      <c r="D123" s="91"/>
      <c r="E123" s="91"/>
      <c r="F123" s="91"/>
      <c r="G123" s="92"/>
    </row>
    <row r="124" spans="1:7" x14ac:dyDescent="0.25">
      <c r="A124" s="109"/>
      <c r="B124" s="122" t="s">
        <v>181</v>
      </c>
      <c r="C124" s="91"/>
      <c r="D124" s="91"/>
      <c r="E124" s="91"/>
      <c r="F124" s="91"/>
      <c r="G124" s="92"/>
    </row>
    <row r="125" spans="1:7" x14ac:dyDescent="0.25">
      <c r="A125" s="109"/>
      <c r="B125" s="64" t="s">
        <v>163</v>
      </c>
      <c r="C125" s="122" t="s">
        <v>164</v>
      </c>
      <c r="D125" s="91"/>
      <c r="E125" s="92"/>
      <c r="F125" s="34" t="s">
        <v>165</v>
      </c>
      <c r="G125" s="34" t="s">
        <v>166</v>
      </c>
    </row>
    <row r="126" spans="1:7" x14ac:dyDescent="0.25">
      <c r="A126" s="109"/>
      <c r="B126" s="20"/>
      <c r="C126" s="131" t="s">
        <v>375</v>
      </c>
      <c r="D126" s="91"/>
      <c r="E126" s="92"/>
      <c r="F126" s="17"/>
      <c r="G126" s="15" t="s">
        <v>378</v>
      </c>
    </row>
    <row r="127" spans="1:7" x14ac:dyDescent="0.25">
      <c r="A127" s="109"/>
      <c r="B127" s="124" t="s">
        <v>183</v>
      </c>
      <c r="C127" s="91"/>
      <c r="D127" s="91"/>
      <c r="E127" s="91"/>
      <c r="F127" s="91"/>
      <c r="G127" s="92"/>
    </row>
    <row r="128" spans="1:7" x14ac:dyDescent="0.25">
      <c r="A128" s="109"/>
      <c r="B128" s="21" t="s">
        <v>163</v>
      </c>
      <c r="C128" s="21" t="s">
        <v>172</v>
      </c>
      <c r="D128" s="21" t="s">
        <v>19</v>
      </c>
      <c r="E128" s="21" t="s">
        <v>173</v>
      </c>
      <c r="F128" s="21" t="s">
        <v>174</v>
      </c>
      <c r="G128" s="21" t="s">
        <v>175</v>
      </c>
    </row>
    <row r="129" spans="1:7" x14ac:dyDescent="0.25">
      <c r="A129" s="110"/>
      <c r="B129" s="40"/>
      <c r="C129" s="40"/>
      <c r="D129" s="40"/>
      <c r="E129" s="40"/>
      <c r="F129" s="40"/>
      <c r="G129" s="40"/>
    </row>
    <row r="130" spans="1:7" x14ac:dyDescent="0.25">
      <c r="A130" s="114" t="s">
        <v>381</v>
      </c>
      <c r="B130" s="121" t="s">
        <v>180</v>
      </c>
      <c r="C130" s="91"/>
      <c r="D130" s="91"/>
      <c r="E130" s="91"/>
      <c r="F130" s="91"/>
      <c r="G130" s="92"/>
    </row>
    <row r="131" spans="1:7" x14ac:dyDescent="0.25">
      <c r="A131" s="109"/>
      <c r="B131" s="122" t="s">
        <v>181</v>
      </c>
      <c r="C131" s="91"/>
      <c r="D131" s="91"/>
      <c r="E131" s="91"/>
      <c r="F131" s="91"/>
      <c r="G131" s="92"/>
    </row>
    <row r="132" spans="1:7" x14ac:dyDescent="0.25">
      <c r="A132" s="109"/>
      <c r="B132" s="64" t="s">
        <v>163</v>
      </c>
      <c r="C132" s="122" t="s">
        <v>164</v>
      </c>
      <c r="D132" s="91"/>
      <c r="E132" s="92"/>
      <c r="F132" s="34" t="s">
        <v>165</v>
      </c>
      <c r="G132" s="34" t="s">
        <v>166</v>
      </c>
    </row>
    <row r="133" spans="1:7" ht="28" customHeight="1" x14ac:dyDescent="0.25">
      <c r="A133" s="109"/>
      <c r="B133" s="20" t="s">
        <v>382</v>
      </c>
      <c r="C133" s="123" t="s">
        <v>383</v>
      </c>
      <c r="D133" s="91"/>
      <c r="E133" s="92"/>
      <c r="F133" s="17"/>
      <c r="G133" s="15" t="s">
        <v>384</v>
      </c>
    </row>
    <row r="134" spans="1:7" x14ac:dyDescent="0.25">
      <c r="A134" s="109"/>
      <c r="B134" s="124" t="s">
        <v>183</v>
      </c>
      <c r="C134" s="91"/>
      <c r="D134" s="91"/>
      <c r="E134" s="91"/>
      <c r="F134" s="91"/>
      <c r="G134" s="92"/>
    </row>
    <row r="135" spans="1:7" x14ac:dyDescent="0.25">
      <c r="A135" s="109"/>
      <c r="B135" s="21" t="s">
        <v>163</v>
      </c>
      <c r="C135" s="21" t="s">
        <v>172</v>
      </c>
      <c r="D135" s="21" t="s">
        <v>19</v>
      </c>
      <c r="E135" s="21" t="s">
        <v>173</v>
      </c>
      <c r="F135" s="21" t="s">
        <v>174</v>
      </c>
      <c r="G135" s="21" t="s">
        <v>175</v>
      </c>
    </row>
    <row r="136" spans="1:7" ht="28" customHeight="1" x14ac:dyDescent="0.25">
      <c r="A136" s="110"/>
      <c r="B136" s="40" t="s">
        <v>382</v>
      </c>
      <c r="C136" s="40" t="s">
        <v>383</v>
      </c>
      <c r="D136" s="40" t="s">
        <v>384</v>
      </c>
      <c r="E136" s="40" t="s">
        <v>261</v>
      </c>
      <c r="F136" s="40" t="s">
        <v>385</v>
      </c>
      <c r="G136" s="40" t="s">
        <v>386</v>
      </c>
    </row>
    <row r="137" spans="1:7" x14ac:dyDescent="0.25">
      <c r="A137" s="114" t="s">
        <v>387</v>
      </c>
      <c r="B137" s="121" t="s">
        <v>180</v>
      </c>
      <c r="C137" s="91"/>
      <c r="D137" s="91"/>
      <c r="E137" s="91"/>
      <c r="F137" s="91"/>
      <c r="G137" s="92"/>
    </row>
    <row r="138" spans="1:7" x14ac:dyDescent="0.25">
      <c r="A138" s="109"/>
      <c r="B138" s="122" t="s">
        <v>181</v>
      </c>
      <c r="C138" s="91"/>
      <c r="D138" s="91"/>
      <c r="E138" s="91"/>
      <c r="F138" s="91"/>
      <c r="G138" s="92"/>
    </row>
    <row r="139" spans="1:7" x14ac:dyDescent="0.25">
      <c r="A139" s="109"/>
      <c r="B139" s="64" t="s">
        <v>163</v>
      </c>
      <c r="C139" s="122" t="s">
        <v>164</v>
      </c>
      <c r="D139" s="91"/>
      <c r="E139" s="92"/>
      <c r="F139" s="34" t="s">
        <v>165</v>
      </c>
      <c r="G139" s="34" t="s">
        <v>166</v>
      </c>
    </row>
    <row r="140" spans="1:7" x14ac:dyDescent="0.25">
      <c r="A140" s="109"/>
      <c r="B140" s="20" t="s">
        <v>388</v>
      </c>
      <c r="C140" s="123" t="s">
        <v>389</v>
      </c>
      <c r="D140" s="91"/>
      <c r="E140" s="92"/>
      <c r="F140" s="17"/>
      <c r="G140" s="15" t="s">
        <v>390</v>
      </c>
    </row>
    <row r="141" spans="1:7" x14ac:dyDescent="0.25">
      <c r="A141" s="109"/>
      <c r="B141" s="124" t="s">
        <v>183</v>
      </c>
      <c r="C141" s="91"/>
      <c r="D141" s="91"/>
      <c r="E141" s="91"/>
      <c r="F141" s="91"/>
      <c r="G141" s="92"/>
    </row>
    <row r="142" spans="1:7" x14ac:dyDescent="0.25">
      <c r="A142" s="109"/>
      <c r="B142" s="21" t="s">
        <v>163</v>
      </c>
      <c r="C142" s="21" t="s">
        <v>172</v>
      </c>
      <c r="D142" s="21" t="s">
        <v>19</v>
      </c>
      <c r="E142" s="21" t="s">
        <v>173</v>
      </c>
      <c r="F142" s="21" t="s">
        <v>174</v>
      </c>
      <c r="G142" s="21" t="s">
        <v>175</v>
      </c>
    </row>
    <row r="143" spans="1:7" ht="28" customHeight="1" x14ac:dyDescent="0.25">
      <c r="A143" s="110"/>
      <c r="B143" s="40" t="s">
        <v>388</v>
      </c>
      <c r="C143" s="40" t="s">
        <v>389</v>
      </c>
      <c r="D143" s="40" t="s">
        <v>390</v>
      </c>
      <c r="E143" s="40" t="s">
        <v>261</v>
      </c>
      <c r="F143" s="40" t="s">
        <v>391</v>
      </c>
      <c r="G143" s="40" t="s">
        <v>392</v>
      </c>
    </row>
  </sheetData>
  <mergeCells count="118">
    <mergeCell ref="A1:A16"/>
    <mergeCell ref="F1:G1"/>
    <mergeCell ref="F2:G2"/>
    <mergeCell ref="F5:G5"/>
    <mergeCell ref="F15:G15"/>
    <mergeCell ref="F16:G16"/>
    <mergeCell ref="B19:G19"/>
    <mergeCell ref="A17:A69"/>
    <mergeCell ref="C37:C40"/>
    <mergeCell ref="F37:G40"/>
    <mergeCell ref="B26:G26"/>
    <mergeCell ref="C45:C48"/>
    <mergeCell ref="F45:G48"/>
    <mergeCell ref="C41:C44"/>
    <mergeCell ref="F41:G44"/>
    <mergeCell ref="C59:E59"/>
    <mergeCell ref="C60:E60"/>
    <mergeCell ref="B18:G18"/>
    <mergeCell ref="B27:B48"/>
    <mergeCell ref="F27:G27"/>
    <mergeCell ref="C28:C32"/>
    <mergeCell ref="F28:G32"/>
    <mergeCell ref="F9:G9"/>
    <mergeCell ref="F10:G10"/>
    <mergeCell ref="F11:G11"/>
    <mergeCell ref="F12:G12"/>
    <mergeCell ref="F13:G13"/>
    <mergeCell ref="B17:G17"/>
    <mergeCell ref="F51:F54"/>
    <mergeCell ref="G51:G54"/>
    <mergeCell ref="C61:E61"/>
    <mergeCell ref="C62:E62"/>
    <mergeCell ref="C63:E63"/>
    <mergeCell ref="B49:G49"/>
    <mergeCell ref="B50:B57"/>
    <mergeCell ref="B58:G58"/>
    <mergeCell ref="F4:G4"/>
    <mergeCell ref="F6:G6"/>
    <mergeCell ref="F8:G8"/>
    <mergeCell ref="F7:G7"/>
    <mergeCell ref="F14:G14"/>
    <mergeCell ref="A70:A76"/>
    <mergeCell ref="B70:G70"/>
    <mergeCell ref="B71:G71"/>
    <mergeCell ref="C72:E72"/>
    <mergeCell ref="C73:E73"/>
    <mergeCell ref="B74:G74"/>
    <mergeCell ref="B20:G20"/>
    <mergeCell ref="C33:C36"/>
    <mergeCell ref="C21:D21"/>
    <mergeCell ref="E21:G21"/>
    <mergeCell ref="C22:D22"/>
    <mergeCell ref="C23:D23"/>
    <mergeCell ref="C24:D24"/>
    <mergeCell ref="C25:D25"/>
    <mergeCell ref="E22:G22"/>
    <mergeCell ref="E23:G23"/>
    <mergeCell ref="E24:G24"/>
    <mergeCell ref="E25:G25"/>
    <mergeCell ref="F33:G36"/>
    <mergeCell ref="B64:G64"/>
    <mergeCell ref="C51:C54"/>
    <mergeCell ref="A91:A101"/>
    <mergeCell ref="B91:G91"/>
    <mergeCell ref="B92:G92"/>
    <mergeCell ref="C93:E93"/>
    <mergeCell ref="C95:E95"/>
    <mergeCell ref="B97:G97"/>
    <mergeCell ref="A84:A90"/>
    <mergeCell ref="B84:G84"/>
    <mergeCell ref="B85:G85"/>
    <mergeCell ref="C86:E86"/>
    <mergeCell ref="C87:E87"/>
    <mergeCell ref="B88:G88"/>
    <mergeCell ref="C94:E94"/>
    <mergeCell ref="C96:E96"/>
    <mergeCell ref="A77:A83"/>
    <mergeCell ref="B77:G77"/>
    <mergeCell ref="B78:G78"/>
    <mergeCell ref="C79:E79"/>
    <mergeCell ref="C80:E80"/>
    <mergeCell ref="B81:G81"/>
    <mergeCell ref="A102:A108"/>
    <mergeCell ref="B102:G102"/>
    <mergeCell ref="B103:G103"/>
    <mergeCell ref="C104:E104"/>
    <mergeCell ref="C105:E105"/>
    <mergeCell ref="B106:G106"/>
    <mergeCell ref="A109:A115"/>
    <mergeCell ref="B109:G109"/>
    <mergeCell ref="B110:G110"/>
    <mergeCell ref="C111:E111"/>
    <mergeCell ref="C112:E112"/>
    <mergeCell ref="B113:G113"/>
    <mergeCell ref="A116:A122"/>
    <mergeCell ref="B116:G116"/>
    <mergeCell ref="B117:G117"/>
    <mergeCell ref="C118:E118"/>
    <mergeCell ref="C119:E119"/>
    <mergeCell ref="B120:G120"/>
    <mergeCell ref="A123:A129"/>
    <mergeCell ref="B123:G123"/>
    <mergeCell ref="B124:G124"/>
    <mergeCell ref="C125:E125"/>
    <mergeCell ref="C126:E126"/>
    <mergeCell ref="B127:G127"/>
    <mergeCell ref="A137:A143"/>
    <mergeCell ref="B137:G137"/>
    <mergeCell ref="B138:G138"/>
    <mergeCell ref="C139:E139"/>
    <mergeCell ref="C140:E140"/>
    <mergeCell ref="B141:G141"/>
    <mergeCell ref="A130:A136"/>
    <mergeCell ref="B130:G130"/>
    <mergeCell ref="B131:G131"/>
    <mergeCell ref="C132:E132"/>
    <mergeCell ref="C133:E133"/>
    <mergeCell ref="B134:G134"/>
  </mergeCells>
  <phoneticPr fontId="1" type="noConversion"/>
  <dataValidations count="1">
    <dataValidation type="list" allowBlank="1" showInputMessage="1" showErrorMessage="1" sqref="C2:C16">
      <formula1>"流程图,状态机,等价类划分&amp;数据组合,直接分析"</formula1>
    </dataValidation>
  </dataValidations>
  <pageMargins left="0.7" right="0.7" top="0.75" bottom="0.75" header="0.3" footer="0.3"/>
  <pageSetup paperSize="9"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76"/>
  <sheetViews>
    <sheetView topLeftCell="A52" zoomScaleNormal="100" workbookViewId="0">
      <selection activeCell="A56" sqref="A56:G76"/>
    </sheetView>
  </sheetViews>
  <sheetFormatPr defaultColWidth="9" defaultRowHeight="14" x14ac:dyDescent="0.25"/>
  <cols>
    <col min="1" max="1" width="15" style="61" customWidth="1"/>
    <col min="2" max="2" width="18.81640625" style="61" customWidth="1"/>
    <col min="3" max="3" width="17.1796875" style="61" customWidth="1"/>
    <col min="4" max="4" width="18.90625" style="61" customWidth="1"/>
    <col min="5" max="5" width="13.08984375" style="61" customWidth="1"/>
    <col min="6" max="6" width="49.36328125" style="61" customWidth="1"/>
    <col min="7" max="7" width="50.90625" style="61" customWidth="1"/>
    <col min="8" max="15" width="9" style="61" customWidth="1"/>
    <col min="16" max="16384" width="9" style="61"/>
  </cols>
  <sheetData>
    <row r="1" spans="1:7" x14ac:dyDescent="0.25">
      <c r="A1" s="138" t="s">
        <v>100</v>
      </c>
      <c r="B1" s="68" t="s">
        <v>15</v>
      </c>
      <c r="C1" s="68" t="s">
        <v>16</v>
      </c>
      <c r="D1" s="68" t="s">
        <v>17</v>
      </c>
      <c r="E1" s="68" t="s">
        <v>18</v>
      </c>
      <c r="F1" s="111" t="s">
        <v>19</v>
      </c>
      <c r="G1" s="92"/>
    </row>
    <row r="2" spans="1:7" x14ac:dyDescent="0.25">
      <c r="A2" s="109"/>
      <c r="B2" s="44" t="s">
        <v>48</v>
      </c>
      <c r="C2" s="44" t="s">
        <v>25</v>
      </c>
      <c r="D2" s="44"/>
      <c r="E2" s="46">
        <v>2</v>
      </c>
      <c r="F2" s="107" t="s">
        <v>49</v>
      </c>
      <c r="G2" s="84"/>
    </row>
    <row r="3" spans="1:7" x14ac:dyDescent="0.25">
      <c r="A3" s="109"/>
      <c r="B3" s="44" t="s">
        <v>393</v>
      </c>
      <c r="C3" s="44" t="s">
        <v>31</v>
      </c>
      <c r="D3" s="44"/>
      <c r="E3" s="46">
        <v>1</v>
      </c>
      <c r="F3" s="70" t="s">
        <v>394</v>
      </c>
      <c r="G3" s="47"/>
    </row>
    <row r="4" spans="1:7" x14ac:dyDescent="0.25">
      <c r="A4" s="109"/>
      <c r="B4" s="44" t="s">
        <v>395</v>
      </c>
      <c r="C4" s="44" t="s">
        <v>31</v>
      </c>
      <c r="D4" s="44"/>
      <c r="E4" s="46">
        <v>2</v>
      </c>
      <c r="F4" s="70" t="s">
        <v>396</v>
      </c>
      <c r="G4" s="47"/>
    </row>
    <row r="5" spans="1:7" x14ac:dyDescent="0.25">
      <c r="A5" s="109"/>
      <c r="B5" s="44" t="s">
        <v>397</v>
      </c>
      <c r="C5" s="44" t="s">
        <v>31</v>
      </c>
      <c r="D5" s="44"/>
      <c r="E5" s="46">
        <v>1</v>
      </c>
      <c r="F5" s="70" t="s">
        <v>398</v>
      </c>
      <c r="G5" s="47"/>
    </row>
    <row r="6" spans="1:7" x14ac:dyDescent="0.25">
      <c r="A6" s="109"/>
      <c r="B6" s="44" t="s">
        <v>37</v>
      </c>
      <c r="C6" s="44" t="s">
        <v>31</v>
      </c>
      <c r="D6" s="44"/>
      <c r="E6" s="46">
        <v>1</v>
      </c>
      <c r="F6" s="107" t="s">
        <v>50</v>
      </c>
      <c r="G6" s="84"/>
    </row>
    <row r="7" spans="1:7" x14ac:dyDescent="0.25">
      <c r="A7" s="109"/>
      <c r="B7" s="44" t="s">
        <v>30</v>
      </c>
      <c r="C7" s="44" t="s">
        <v>31</v>
      </c>
      <c r="D7" s="44"/>
      <c r="E7" s="46">
        <v>2</v>
      </c>
      <c r="F7" s="107" t="s">
        <v>51</v>
      </c>
      <c r="G7" s="84"/>
    </row>
    <row r="8" spans="1:7" x14ac:dyDescent="0.25">
      <c r="A8" s="110"/>
      <c r="B8" s="44" t="s">
        <v>52</v>
      </c>
      <c r="C8" s="44" t="s">
        <v>31</v>
      </c>
      <c r="D8" s="44"/>
      <c r="E8" s="46">
        <v>1</v>
      </c>
      <c r="F8" s="107" t="s">
        <v>53</v>
      </c>
      <c r="G8" s="84"/>
    </row>
    <row r="9" spans="1:7" x14ac:dyDescent="0.25">
      <c r="A9" s="129" t="s">
        <v>48</v>
      </c>
      <c r="B9" s="115" t="s">
        <v>109</v>
      </c>
      <c r="C9" s="83"/>
      <c r="D9" s="83"/>
      <c r="E9" s="83"/>
      <c r="F9" s="83"/>
      <c r="G9" s="84"/>
    </row>
    <row r="10" spans="1:7" x14ac:dyDescent="0.25">
      <c r="A10" s="109"/>
      <c r="B10" s="116" t="s">
        <v>110</v>
      </c>
      <c r="C10" s="83"/>
      <c r="D10" s="83"/>
      <c r="E10" s="83"/>
      <c r="F10" s="83"/>
      <c r="G10" s="84"/>
    </row>
    <row r="11" spans="1:7" x14ac:dyDescent="0.25">
      <c r="A11" s="109"/>
      <c r="B11" s="117" t="s">
        <v>111</v>
      </c>
      <c r="C11" s="38" t="s">
        <v>19</v>
      </c>
      <c r="D11" s="38" t="s">
        <v>112</v>
      </c>
      <c r="E11" s="38" t="s">
        <v>113</v>
      </c>
      <c r="F11" s="127"/>
      <c r="G11" s="84"/>
    </row>
    <row r="12" spans="1:7" x14ac:dyDescent="0.25">
      <c r="A12" s="109"/>
      <c r="B12" s="97"/>
      <c r="C12" s="126" t="s">
        <v>399</v>
      </c>
      <c r="D12" s="63" t="s">
        <v>400</v>
      </c>
      <c r="E12" s="63"/>
      <c r="F12" s="128" t="s">
        <v>401</v>
      </c>
      <c r="G12" s="101"/>
    </row>
    <row r="13" spans="1:7" x14ac:dyDescent="0.25">
      <c r="A13" s="109"/>
      <c r="B13" s="97"/>
      <c r="C13" s="97"/>
      <c r="D13" s="63" t="s">
        <v>402</v>
      </c>
      <c r="E13" s="63"/>
      <c r="F13" s="102"/>
      <c r="G13" s="104"/>
    </row>
    <row r="14" spans="1:7" x14ac:dyDescent="0.25">
      <c r="A14" s="109"/>
      <c r="B14" s="97"/>
      <c r="C14" s="97"/>
      <c r="D14" s="63" t="s">
        <v>403</v>
      </c>
      <c r="E14" s="63"/>
      <c r="F14" s="102"/>
      <c r="G14" s="104"/>
    </row>
    <row r="15" spans="1:7" ht="28" customHeight="1" x14ac:dyDescent="0.25">
      <c r="A15" s="109"/>
      <c r="B15" s="97"/>
      <c r="C15" s="97"/>
      <c r="D15" s="63" t="s">
        <v>404</v>
      </c>
      <c r="E15" s="63"/>
      <c r="F15" s="102"/>
      <c r="G15" s="104"/>
    </row>
    <row r="16" spans="1:7" ht="28" customHeight="1" x14ac:dyDescent="0.25">
      <c r="A16" s="109"/>
      <c r="B16" s="97"/>
      <c r="C16" s="98"/>
      <c r="D16" s="63" t="s">
        <v>405</v>
      </c>
      <c r="E16" s="63"/>
      <c r="F16" s="105"/>
      <c r="G16" s="106"/>
    </row>
    <row r="17" spans="1:7" x14ac:dyDescent="0.25">
      <c r="A17" s="109"/>
      <c r="B17" s="97"/>
      <c r="C17" s="114" t="s">
        <v>291</v>
      </c>
      <c r="D17" s="63" t="s">
        <v>292</v>
      </c>
      <c r="E17" s="63"/>
      <c r="F17" s="132" t="s">
        <v>406</v>
      </c>
      <c r="G17" s="133"/>
    </row>
    <row r="18" spans="1:7" x14ac:dyDescent="0.25">
      <c r="A18" s="109"/>
      <c r="B18" s="97"/>
      <c r="C18" s="109"/>
      <c r="D18" s="63" t="s">
        <v>407</v>
      </c>
      <c r="E18" s="63"/>
      <c r="F18" s="134"/>
      <c r="G18" s="135"/>
    </row>
    <row r="19" spans="1:7" x14ac:dyDescent="0.25">
      <c r="A19" s="109"/>
      <c r="B19" s="97"/>
      <c r="C19" s="109"/>
      <c r="D19" s="63" t="s">
        <v>295</v>
      </c>
      <c r="E19" s="63"/>
      <c r="F19" s="134"/>
      <c r="G19" s="135"/>
    </row>
    <row r="20" spans="1:7" x14ac:dyDescent="0.25">
      <c r="A20" s="109"/>
      <c r="B20" s="97"/>
      <c r="C20" s="109"/>
      <c r="D20" s="63" t="s">
        <v>296</v>
      </c>
      <c r="E20" s="63"/>
      <c r="F20" s="134"/>
      <c r="G20" s="135"/>
    </row>
    <row r="21" spans="1:7" x14ac:dyDescent="0.25">
      <c r="A21" s="109"/>
      <c r="B21" s="97"/>
      <c r="C21" s="109"/>
      <c r="D21" s="37" t="s">
        <v>297</v>
      </c>
      <c r="E21" s="63"/>
      <c r="F21" s="134"/>
      <c r="G21" s="135"/>
    </row>
    <row r="22" spans="1:7" x14ac:dyDescent="0.25">
      <c r="A22" s="109"/>
      <c r="B22" s="98"/>
      <c r="C22" s="110"/>
      <c r="D22" s="37" t="s">
        <v>408</v>
      </c>
      <c r="E22" s="63"/>
      <c r="F22" s="136"/>
      <c r="G22" s="137"/>
    </row>
    <row r="23" spans="1:7" x14ac:dyDescent="0.25">
      <c r="A23" s="109"/>
      <c r="B23" s="116" t="s">
        <v>155</v>
      </c>
      <c r="C23" s="83"/>
      <c r="D23" s="83"/>
      <c r="E23" s="83"/>
      <c r="F23" s="83"/>
      <c r="G23" s="84"/>
    </row>
    <row r="24" spans="1:7" x14ac:dyDescent="0.25">
      <c r="A24" s="109"/>
      <c r="B24" s="117" t="s">
        <v>156</v>
      </c>
      <c r="C24" s="38" t="s">
        <v>19</v>
      </c>
      <c r="D24" s="38" t="s">
        <v>157</v>
      </c>
      <c r="E24" s="38" t="s">
        <v>158</v>
      </c>
      <c r="F24" s="38" t="s">
        <v>159</v>
      </c>
      <c r="G24" s="38" t="s">
        <v>160</v>
      </c>
    </row>
    <row r="25" spans="1:7" ht="28" customHeight="1" x14ac:dyDescent="0.25">
      <c r="A25" s="109"/>
      <c r="B25" s="97"/>
      <c r="C25" s="114" t="s">
        <v>291</v>
      </c>
      <c r="D25" s="63" t="s">
        <v>292</v>
      </c>
      <c r="E25" s="63" t="s">
        <v>399</v>
      </c>
      <c r="F25" s="63" t="s">
        <v>409</v>
      </c>
      <c r="G25" s="63" t="s">
        <v>410</v>
      </c>
    </row>
    <row r="26" spans="1:7" x14ac:dyDescent="0.25">
      <c r="A26" s="109"/>
      <c r="B26" s="97"/>
      <c r="C26" s="109"/>
      <c r="D26" s="63" t="s">
        <v>407</v>
      </c>
      <c r="E26" s="63" t="s">
        <v>399</v>
      </c>
      <c r="F26" s="63" t="s">
        <v>411</v>
      </c>
      <c r="G26" s="63" t="s">
        <v>412</v>
      </c>
    </row>
    <row r="27" spans="1:7" x14ac:dyDescent="0.25">
      <c r="A27" s="109"/>
      <c r="B27" s="97"/>
      <c r="C27" s="109"/>
      <c r="D27" s="63" t="s">
        <v>295</v>
      </c>
      <c r="E27" s="63" t="s">
        <v>399</v>
      </c>
      <c r="F27" s="63" t="s">
        <v>413</v>
      </c>
      <c r="G27" s="63" t="s">
        <v>414</v>
      </c>
    </row>
    <row r="28" spans="1:7" ht="28" customHeight="1" x14ac:dyDescent="0.25">
      <c r="A28" s="109"/>
      <c r="B28" s="98"/>
      <c r="C28" s="110"/>
      <c r="D28" s="63" t="s">
        <v>296</v>
      </c>
      <c r="E28" s="63" t="s">
        <v>399</v>
      </c>
      <c r="F28" s="63" t="s">
        <v>415</v>
      </c>
      <c r="G28" s="63" t="s">
        <v>416</v>
      </c>
    </row>
    <row r="29" spans="1:7" x14ac:dyDescent="0.25">
      <c r="A29" s="109"/>
      <c r="B29" s="116" t="s">
        <v>162</v>
      </c>
      <c r="C29" s="83"/>
      <c r="D29" s="83"/>
      <c r="E29" s="83"/>
      <c r="F29" s="83"/>
      <c r="G29" s="84"/>
    </row>
    <row r="30" spans="1:7" x14ac:dyDescent="0.25">
      <c r="A30" s="109"/>
      <c r="B30" s="65" t="s">
        <v>163</v>
      </c>
      <c r="C30" s="116" t="s">
        <v>164</v>
      </c>
      <c r="D30" s="83"/>
      <c r="E30" s="84"/>
      <c r="F30" s="39" t="s">
        <v>165</v>
      </c>
      <c r="G30" s="39" t="s">
        <v>166</v>
      </c>
    </row>
    <row r="31" spans="1:7" ht="84" customHeight="1" x14ac:dyDescent="0.25">
      <c r="A31" s="109"/>
      <c r="B31" s="43" t="s">
        <v>417</v>
      </c>
      <c r="C31" s="128" t="s">
        <v>418</v>
      </c>
      <c r="D31" s="83"/>
      <c r="E31" s="84"/>
      <c r="F31" s="44" t="s">
        <v>419</v>
      </c>
      <c r="G31" s="36" t="s">
        <v>420</v>
      </c>
    </row>
    <row r="32" spans="1:7" x14ac:dyDescent="0.25">
      <c r="A32" s="109"/>
      <c r="B32" s="119" t="s">
        <v>171</v>
      </c>
      <c r="C32" s="83"/>
      <c r="D32" s="83"/>
      <c r="E32" s="83"/>
      <c r="F32" s="83"/>
      <c r="G32" s="84"/>
    </row>
    <row r="33" spans="1:7" x14ac:dyDescent="0.25">
      <c r="A33" s="109"/>
      <c r="B33" s="38" t="s">
        <v>163</v>
      </c>
      <c r="C33" s="38" t="s">
        <v>172</v>
      </c>
      <c r="D33" s="38" t="s">
        <v>19</v>
      </c>
      <c r="E33" s="38" t="s">
        <v>173</v>
      </c>
      <c r="F33" s="38" t="s">
        <v>174</v>
      </c>
      <c r="G33" s="38" t="s">
        <v>175</v>
      </c>
    </row>
    <row r="34" spans="1:7" ht="126" customHeight="1" x14ac:dyDescent="0.25">
      <c r="A34" s="109"/>
      <c r="B34" s="40" t="s">
        <v>421</v>
      </c>
      <c r="C34" s="40" t="s">
        <v>422</v>
      </c>
      <c r="D34" s="40" t="s">
        <v>420</v>
      </c>
      <c r="E34" s="40" t="s">
        <v>177</v>
      </c>
      <c r="F34" s="40" t="s">
        <v>423</v>
      </c>
      <c r="G34" s="40" t="s">
        <v>424</v>
      </c>
    </row>
    <row r="35" spans="1:7" x14ac:dyDescent="0.25">
      <c r="A35" s="114" t="s">
        <v>425</v>
      </c>
      <c r="B35" s="121" t="s">
        <v>180</v>
      </c>
      <c r="C35" s="91"/>
      <c r="D35" s="91"/>
      <c r="E35" s="91"/>
      <c r="F35" s="91"/>
      <c r="G35" s="92"/>
    </row>
    <row r="36" spans="1:7" x14ac:dyDescent="0.25">
      <c r="A36" s="109"/>
      <c r="B36" s="122" t="s">
        <v>181</v>
      </c>
      <c r="C36" s="91"/>
      <c r="D36" s="91"/>
      <c r="E36" s="91"/>
      <c r="F36" s="91"/>
      <c r="G36" s="92"/>
    </row>
    <row r="37" spans="1:7" x14ac:dyDescent="0.25">
      <c r="A37" s="109"/>
      <c r="B37" s="64" t="s">
        <v>163</v>
      </c>
      <c r="C37" s="122" t="s">
        <v>164</v>
      </c>
      <c r="D37" s="91"/>
      <c r="E37" s="92"/>
      <c r="F37" s="34" t="s">
        <v>165</v>
      </c>
      <c r="G37" s="34" t="s">
        <v>166</v>
      </c>
    </row>
    <row r="38" spans="1:7" x14ac:dyDescent="0.25">
      <c r="A38" s="109"/>
      <c r="B38" s="20" t="s">
        <v>426</v>
      </c>
      <c r="C38" s="123" t="s">
        <v>427</v>
      </c>
      <c r="D38" s="91"/>
      <c r="E38" s="92"/>
      <c r="F38" s="17"/>
      <c r="G38" s="15" t="s">
        <v>428</v>
      </c>
    </row>
    <row r="39" spans="1:7" x14ac:dyDescent="0.25">
      <c r="A39" s="109"/>
      <c r="B39" s="124" t="s">
        <v>183</v>
      </c>
      <c r="C39" s="91"/>
      <c r="D39" s="91"/>
      <c r="E39" s="91"/>
      <c r="F39" s="91"/>
      <c r="G39" s="92"/>
    </row>
    <row r="40" spans="1:7" x14ac:dyDescent="0.25">
      <c r="A40" s="109"/>
      <c r="B40" s="21" t="s">
        <v>163</v>
      </c>
      <c r="C40" s="21" t="s">
        <v>172</v>
      </c>
      <c r="D40" s="21" t="s">
        <v>19</v>
      </c>
      <c r="E40" s="21" t="s">
        <v>173</v>
      </c>
      <c r="F40" s="21" t="s">
        <v>174</v>
      </c>
      <c r="G40" s="21" t="s">
        <v>175</v>
      </c>
    </row>
    <row r="41" spans="1:7" ht="98" customHeight="1" x14ac:dyDescent="0.25">
      <c r="A41" s="110"/>
      <c r="B41" s="18" t="s">
        <v>426</v>
      </c>
      <c r="C41" s="18" t="s">
        <v>427</v>
      </c>
      <c r="D41" s="18" t="s">
        <v>428</v>
      </c>
      <c r="E41" s="18" t="s">
        <v>177</v>
      </c>
      <c r="F41" s="18" t="s">
        <v>429</v>
      </c>
      <c r="G41" s="18" t="s">
        <v>430</v>
      </c>
    </row>
    <row r="42" spans="1:7" x14ac:dyDescent="0.25">
      <c r="A42" s="114" t="s">
        <v>395</v>
      </c>
      <c r="B42" s="121" t="s">
        <v>180</v>
      </c>
      <c r="C42" s="91"/>
      <c r="D42" s="91"/>
      <c r="E42" s="91"/>
      <c r="F42" s="91"/>
      <c r="G42" s="92"/>
    </row>
    <row r="43" spans="1:7" x14ac:dyDescent="0.25">
      <c r="A43" s="109"/>
      <c r="B43" s="122" t="s">
        <v>181</v>
      </c>
      <c r="C43" s="91"/>
      <c r="D43" s="91"/>
      <c r="E43" s="91"/>
      <c r="F43" s="91"/>
      <c r="G43" s="92"/>
    </row>
    <row r="44" spans="1:7" x14ac:dyDescent="0.25">
      <c r="A44" s="109"/>
      <c r="B44" s="64" t="s">
        <v>163</v>
      </c>
      <c r="C44" s="122" t="s">
        <v>164</v>
      </c>
      <c r="D44" s="91"/>
      <c r="E44" s="92"/>
      <c r="F44" s="34" t="s">
        <v>165</v>
      </c>
      <c r="G44" s="34" t="s">
        <v>166</v>
      </c>
    </row>
    <row r="45" spans="1:7" x14ac:dyDescent="0.25">
      <c r="A45" s="109"/>
      <c r="B45" s="20" t="s">
        <v>431</v>
      </c>
      <c r="C45" s="123" t="s">
        <v>432</v>
      </c>
      <c r="D45" s="91"/>
      <c r="E45" s="92"/>
      <c r="F45" s="17"/>
      <c r="G45" s="15" t="s">
        <v>433</v>
      </c>
    </row>
    <row r="46" spans="1:7" x14ac:dyDescent="0.25">
      <c r="A46" s="109"/>
      <c r="B46" s="124" t="s">
        <v>183</v>
      </c>
      <c r="C46" s="91"/>
      <c r="D46" s="91"/>
      <c r="E46" s="91"/>
      <c r="F46" s="91"/>
      <c r="G46" s="92"/>
    </row>
    <row r="47" spans="1:7" x14ac:dyDescent="0.25">
      <c r="A47" s="109"/>
      <c r="B47" s="21" t="s">
        <v>163</v>
      </c>
      <c r="C47" s="21" t="s">
        <v>172</v>
      </c>
      <c r="D47" s="21" t="s">
        <v>19</v>
      </c>
      <c r="E47" s="21" t="s">
        <v>173</v>
      </c>
      <c r="F47" s="21" t="s">
        <v>174</v>
      </c>
      <c r="G47" s="21" t="s">
        <v>175</v>
      </c>
    </row>
    <row r="48" spans="1:7" ht="126" customHeight="1" x14ac:dyDescent="0.25">
      <c r="A48" s="110"/>
      <c r="B48" s="18" t="s">
        <v>431</v>
      </c>
      <c r="C48" s="18" t="s">
        <v>434</v>
      </c>
      <c r="D48" s="18" t="s">
        <v>433</v>
      </c>
      <c r="E48" s="18" t="s">
        <v>177</v>
      </c>
      <c r="F48" s="18" t="s">
        <v>435</v>
      </c>
      <c r="G48" s="18" t="s">
        <v>436</v>
      </c>
    </row>
    <row r="49" spans="1:7" x14ac:dyDescent="0.25">
      <c r="A49" s="114" t="s">
        <v>437</v>
      </c>
      <c r="B49" s="121" t="s">
        <v>180</v>
      </c>
      <c r="C49" s="91"/>
      <c r="D49" s="91"/>
      <c r="E49" s="91"/>
      <c r="F49" s="91"/>
      <c r="G49" s="92"/>
    </row>
    <row r="50" spans="1:7" x14ac:dyDescent="0.25">
      <c r="A50" s="109"/>
      <c r="B50" s="122" t="s">
        <v>181</v>
      </c>
      <c r="C50" s="91"/>
      <c r="D50" s="91"/>
      <c r="E50" s="91"/>
      <c r="F50" s="91"/>
      <c r="G50" s="92"/>
    </row>
    <row r="51" spans="1:7" x14ac:dyDescent="0.25">
      <c r="A51" s="109"/>
      <c r="B51" s="64" t="s">
        <v>163</v>
      </c>
      <c r="C51" s="122" t="s">
        <v>164</v>
      </c>
      <c r="D51" s="91"/>
      <c r="E51" s="92"/>
      <c r="F51" s="34" t="s">
        <v>165</v>
      </c>
      <c r="G51" s="34" t="s">
        <v>166</v>
      </c>
    </row>
    <row r="52" spans="1:7" x14ac:dyDescent="0.25">
      <c r="A52" s="109"/>
      <c r="B52" s="20" t="s">
        <v>438</v>
      </c>
      <c r="C52" s="123" t="s">
        <v>439</v>
      </c>
      <c r="D52" s="91"/>
      <c r="E52" s="92"/>
      <c r="F52" s="17"/>
      <c r="G52" s="15" t="s">
        <v>440</v>
      </c>
    </row>
    <row r="53" spans="1:7" x14ac:dyDescent="0.25">
      <c r="A53" s="109"/>
      <c r="B53" s="124" t="s">
        <v>183</v>
      </c>
      <c r="C53" s="91"/>
      <c r="D53" s="91"/>
      <c r="E53" s="91"/>
      <c r="F53" s="91"/>
      <c r="G53" s="92"/>
    </row>
    <row r="54" spans="1:7" x14ac:dyDescent="0.25">
      <c r="A54" s="109"/>
      <c r="B54" s="21" t="s">
        <v>163</v>
      </c>
      <c r="C54" s="21" t="s">
        <v>172</v>
      </c>
      <c r="D54" s="21" t="s">
        <v>19</v>
      </c>
      <c r="E54" s="21" t="s">
        <v>173</v>
      </c>
      <c r="F54" s="21" t="s">
        <v>174</v>
      </c>
      <c r="G54" s="21" t="s">
        <v>175</v>
      </c>
    </row>
    <row r="55" spans="1:7" ht="42" customHeight="1" x14ac:dyDescent="0.25">
      <c r="A55" s="110"/>
      <c r="B55" s="18" t="s">
        <v>438</v>
      </c>
      <c r="C55" s="18" t="s">
        <v>439</v>
      </c>
      <c r="D55" s="18" t="s">
        <v>440</v>
      </c>
      <c r="E55" s="18" t="s">
        <v>177</v>
      </c>
      <c r="F55" s="18" t="s">
        <v>441</v>
      </c>
      <c r="G55" s="18" t="s">
        <v>442</v>
      </c>
    </row>
    <row r="56" spans="1:7" x14ac:dyDescent="0.25">
      <c r="A56" s="114" t="s">
        <v>37</v>
      </c>
      <c r="B56" s="121" t="s">
        <v>180</v>
      </c>
      <c r="C56" s="91"/>
      <c r="D56" s="91"/>
      <c r="E56" s="91"/>
      <c r="F56" s="91"/>
      <c r="G56" s="92"/>
    </row>
    <row r="57" spans="1:7" x14ac:dyDescent="0.25">
      <c r="A57" s="109"/>
      <c r="B57" s="122" t="s">
        <v>181</v>
      </c>
      <c r="C57" s="91"/>
      <c r="D57" s="91"/>
      <c r="E57" s="91"/>
      <c r="F57" s="91"/>
      <c r="G57" s="92"/>
    </row>
    <row r="58" spans="1:7" x14ac:dyDescent="0.25">
      <c r="A58" s="109"/>
      <c r="B58" s="64" t="s">
        <v>163</v>
      </c>
      <c r="C58" s="122" t="s">
        <v>164</v>
      </c>
      <c r="D58" s="91"/>
      <c r="E58" s="92"/>
      <c r="F58" s="34" t="s">
        <v>165</v>
      </c>
      <c r="G58" s="34" t="s">
        <v>166</v>
      </c>
    </row>
    <row r="59" spans="1:7" x14ac:dyDescent="0.25">
      <c r="A59" s="109"/>
      <c r="B59" s="20"/>
      <c r="C59" s="131" t="s">
        <v>443</v>
      </c>
      <c r="D59" s="91"/>
      <c r="E59" s="92"/>
      <c r="F59" s="17"/>
      <c r="G59" s="15"/>
    </row>
    <row r="60" spans="1:7" x14ac:dyDescent="0.25">
      <c r="A60" s="109"/>
      <c r="B60" s="124" t="s">
        <v>183</v>
      </c>
      <c r="C60" s="91"/>
      <c r="D60" s="91"/>
      <c r="E60" s="91"/>
      <c r="F60" s="91"/>
      <c r="G60" s="92"/>
    </row>
    <row r="61" spans="1:7" x14ac:dyDescent="0.25">
      <c r="A61" s="109"/>
      <c r="B61" s="21" t="s">
        <v>163</v>
      </c>
      <c r="C61" s="21" t="s">
        <v>172</v>
      </c>
      <c r="D61" s="21" t="s">
        <v>19</v>
      </c>
      <c r="E61" s="21" t="s">
        <v>173</v>
      </c>
      <c r="F61" s="21" t="s">
        <v>174</v>
      </c>
      <c r="G61" s="21" t="s">
        <v>175</v>
      </c>
    </row>
    <row r="62" spans="1:7" x14ac:dyDescent="0.25">
      <c r="A62" s="110"/>
      <c r="B62" s="18"/>
      <c r="C62" s="18"/>
      <c r="D62" s="18"/>
      <c r="E62" s="18"/>
      <c r="F62" s="18"/>
      <c r="G62" s="18"/>
    </row>
    <row r="63" spans="1:7" x14ac:dyDescent="0.25">
      <c r="A63" s="114" t="s">
        <v>30</v>
      </c>
      <c r="B63" s="121" t="s">
        <v>180</v>
      </c>
      <c r="C63" s="91"/>
      <c r="D63" s="91"/>
      <c r="E63" s="91"/>
      <c r="F63" s="91"/>
      <c r="G63" s="92"/>
    </row>
    <row r="64" spans="1:7" x14ac:dyDescent="0.25">
      <c r="A64" s="109"/>
      <c r="B64" s="122" t="s">
        <v>181</v>
      </c>
      <c r="C64" s="91"/>
      <c r="D64" s="91"/>
      <c r="E64" s="91"/>
      <c r="F64" s="91"/>
      <c r="G64" s="92"/>
    </row>
    <row r="65" spans="1:7" x14ac:dyDescent="0.25">
      <c r="A65" s="109"/>
      <c r="B65" s="64" t="s">
        <v>163</v>
      </c>
      <c r="C65" s="122" t="s">
        <v>164</v>
      </c>
      <c r="D65" s="91"/>
      <c r="E65" s="92"/>
      <c r="F65" s="34" t="s">
        <v>165</v>
      </c>
      <c r="G65" s="34" t="s">
        <v>166</v>
      </c>
    </row>
    <row r="66" spans="1:7" x14ac:dyDescent="0.25">
      <c r="A66" s="109"/>
      <c r="B66" s="20"/>
      <c r="C66" s="131" t="s">
        <v>443</v>
      </c>
      <c r="D66" s="91"/>
      <c r="E66" s="92"/>
      <c r="F66" s="17"/>
      <c r="G66" s="15"/>
    </row>
    <row r="67" spans="1:7" x14ac:dyDescent="0.25">
      <c r="A67" s="109"/>
      <c r="B67" s="124" t="s">
        <v>183</v>
      </c>
      <c r="C67" s="91"/>
      <c r="D67" s="91"/>
      <c r="E67" s="91"/>
      <c r="F67" s="91"/>
      <c r="G67" s="92"/>
    </row>
    <row r="68" spans="1:7" x14ac:dyDescent="0.25">
      <c r="A68" s="109"/>
      <c r="B68" s="21" t="s">
        <v>163</v>
      </c>
      <c r="C68" s="21" t="s">
        <v>172</v>
      </c>
      <c r="D68" s="21" t="s">
        <v>19</v>
      </c>
      <c r="E68" s="21" t="s">
        <v>173</v>
      </c>
      <c r="F68" s="21" t="s">
        <v>174</v>
      </c>
      <c r="G68" s="21" t="s">
        <v>175</v>
      </c>
    </row>
    <row r="69" spans="1:7" x14ac:dyDescent="0.25">
      <c r="A69" s="110"/>
      <c r="B69" s="18"/>
      <c r="C69" s="18"/>
      <c r="D69" s="18"/>
      <c r="E69" s="18"/>
      <c r="F69" s="18"/>
      <c r="G69" s="18"/>
    </row>
    <row r="70" spans="1:7" x14ac:dyDescent="0.25">
      <c r="A70" s="114" t="s">
        <v>52</v>
      </c>
      <c r="B70" s="121" t="s">
        <v>180</v>
      </c>
      <c r="C70" s="91"/>
      <c r="D70" s="91"/>
      <c r="E70" s="91"/>
      <c r="F70" s="91"/>
      <c r="G70" s="92"/>
    </row>
    <row r="71" spans="1:7" x14ac:dyDescent="0.25">
      <c r="A71" s="109"/>
      <c r="B71" s="122" t="s">
        <v>181</v>
      </c>
      <c r="C71" s="91"/>
      <c r="D71" s="91"/>
      <c r="E71" s="91"/>
      <c r="F71" s="91"/>
      <c r="G71" s="92"/>
    </row>
    <row r="72" spans="1:7" x14ac:dyDescent="0.25">
      <c r="A72" s="109"/>
      <c r="B72" s="64" t="s">
        <v>163</v>
      </c>
      <c r="C72" s="122" t="s">
        <v>164</v>
      </c>
      <c r="D72" s="91"/>
      <c r="E72" s="92"/>
      <c r="F72" s="34" t="s">
        <v>165</v>
      </c>
      <c r="G72" s="34" t="s">
        <v>166</v>
      </c>
    </row>
    <row r="73" spans="1:7" x14ac:dyDescent="0.25">
      <c r="A73" s="109"/>
      <c r="B73" s="20"/>
      <c r="C73" s="131" t="s">
        <v>444</v>
      </c>
      <c r="D73" s="91"/>
      <c r="E73" s="92"/>
      <c r="F73" s="17"/>
      <c r="G73" s="15"/>
    </row>
    <row r="74" spans="1:7" x14ac:dyDescent="0.25">
      <c r="A74" s="109"/>
      <c r="B74" s="124" t="s">
        <v>183</v>
      </c>
      <c r="C74" s="91"/>
      <c r="D74" s="91"/>
      <c r="E74" s="91"/>
      <c r="F74" s="91"/>
      <c r="G74" s="92"/>
    </row>
    <row r="75" spans="1:7" x14ac:dyDescent="0.25">
      <c r="A75" s="109"/>
      <c r="B75" s="21" t="s">
        <v>163</v>
      </c>
      <c r="C75" s="21" t="s">
        <v>172</v>
      </c>
      <c r="D75" s="21" t="s">
        <v>19</v>
      </c>
      <c r="E75" s="21" t="s">
        <v>173</v>
      </c>
      <c r="F75" s="21" t="s">
        <v>174</v>
      </c>
      <c r="G75" s="21" t="s">
        <v>175</v>
      </c>
    </row>
    <row r="76" spans="1:7" x14ac:dyDescent="0.25">
      <c r="A76" s="110"/>
      <c r="B76" s="18"/>
      <c r="C76" s="18"/>
      <c r="D76" s="18"/>
      <c r="E76" s="18"/>
      <c r="F76" s="18"/>
      <c r="G76" s="18"/>
    </row>
  </sheetData>
  <mergeCells count="58">
    <mergeCell ref="C12:C16"/>
    <mergeCell ref="F12:G16"/>
    <mergeCell ref="C17:C22"/>
    <mergeCell ref="F17:G22"/>
    <mergeCell ref="C25:C28"/>
    <mergeCell ref="B23:G23"/>
    <mergeCell ref="A1:A8"/>
    <mergeCell ref="F1:G1"/>
    <mergeCell ref="F2:G2"/>
    <mergeCell ref="F6:G6"/>
    <mergeCell ref="F7:G7"/>
    <mergeCell ref="F8:G8"/>
    <mergeCell ref="A35:A41"/>
    <mergeCell ref="B36:G36"/>
    <mergeCell ref="C38:E38"/>
    <mergeCell ref="B39:G39"/>
    <mergeCell ref="B24:B28"/>
    <mergeCell ref="B29:G29"/>
    <mergeCell ref="C30:E30"/>
    <mergeCell ref="C31:E31"/>
    <mergeCell ref="B35:G35"/>
    <mergeCell ref="C37:E37"/>
    <mergeCell ref="A9:A34"/>
    <mergeCell ref="B9:G9"/>
    <mergeCell ref="B32:G32"/>
    <mergeCell ref="B10:G10"/>
    <mergeCell ref="B11:B22"/>
    <mergeCell ref="F11:G11"/>
    <mergeCell ref="A56:A62"/>
    <mergeCell ref="B57:G57"/>
    <mergeCell ref="C58:E58"/>
    <mergeCell ref="C59:E59"/>
    <mergeCell ref="B60:G60"/>
    <mergeCell ref="B56:G56"/>
    <mergeCell ref="A63:A69"/>
    <mergeCell ref="B63:G63"/>
    <mergeCell ref="B64:G64"/>
    <mergeCell ref="C65:E65"/>
    <mergeCell ref="C66:E66"/>
    <mergeCell ref="B67:G67"/>
    <mergeCell ref="A70:A76"/>
    <mergeCell ref="B70:G70"/>
    <mergeCell ref="B71:G71"/>
    <mergeCell ref="C72:E72"/>
    <mergeCell ref="C73:E73"/>
    <mergeCell ref="B74:G74"/>
    <mergeCell ref="A42:A48"/>
    <mergeCell ref="B42:G42"/>
    <mergeCell ref="B43:G43"/>
    <mergeCell ref="C44:E44"/>
    <mergeCell ref="C45:E45"/>
    <mergeCell ref="B46:G46"/>
    <mergeCell ref="A49:A55"/>
    <mergeCell ref="B49:G49"/>
    <mergeCell ref="B50:G50"/>
    <mergeCell ref="C51:E51"/>
    <mergeCell ref="C52:E52"/>
    <mergeCell ref="B53:G53"/>
  </mergeCells>
  <phoneticPr fontId="1" type="noConversion"/>
  <dataValidations count="1">
    <dataValidation type="list" allowBlank="1" showInputMessage="1" showErrorMessage="1" sqref="C2:C8">
      <formula1>"流程图,状态机,等价类划分&amp;数据组合,直接分析"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G140"/>
  <sheetViews>
    <sheetView topLeftCell="A2" workbookViewId="0">
      <selection activeCell="E133" sqref="E133"/>
    </sheetView>
  </sheetViews>
  <sheetFormatPr defaultColWidth="9" defaultRowHeight="14" x14ac:dyDescent="0.25"/>
  <cols>
    <col min="1" max="1" width="15" style="61" customWidth="1"/>
    <col min="2" max="2" width="50.08984375" style="61" customWidth="1"/>
    <col min="3" max="3" width="23.453125" style="61" bestFit="1" customWidth="1"/>
    <col min="4" max="4" width="38.453125" style="61" customWidth="1"/>
    <col min="5" max="5" width="17.36328125" style="61" bestFit="1" customWidth="1"/>
    <col min="6" max="6" width="41" style="61" customWidth="1"/>
    <col min="7" max="7" width="44.36328125" style="61" customWidth="1"/>
    <col min="8" max="15" width="9" style="61" customWidth="1"/>
    <col min="16" max="16384" width="9" style="61"/>
  </cols>
  <sheetData>
    <row r="1" spans="1:7" x14ac:dyDescent="0.25">
      <c r="A1" s="138" t="s">
        <v>100</v>
      </c>
      <c r="B1" s="68" t="s">
        <v>15</v>
      </c>
      <c r="C1" s="68" t="s">
        <v>16</v>
      </c>
      <c r="D1" s="68" t="s">
        <v>17</v>
      </c>
      <c r="E1" s="68" t="s">
        <v>18</v>
      </c>
      <c r="F1" s="111" t="s">
        <v>19</v>
      </c>
      <c r="G1" s="92"/>
    </row>
    <row r="2" spans="1:7" x14ac:dyDescent="0.25">
      <c r="A2" s="109"/>
      <c r="B2" s="44" t="s">
        <v>445</v>
      </c>
      <c r="C2" s="44" t="s">
        <v>25</v>
      </c>
      <c r="D2" s="44"/>
      <c r="E2" s="46">
        <v>4</v>
      </c>
      <c r="F2" s="141" t="s">
        <v>56</v>
      </c>
      <c r="G2" s="83"/>
    </row>
    <row r="3" spans="1:7" x14ac:dyDescent="0.25">
      <c r="A3" s="109"/>
      <c r="B3" s="44" t="s">
        <v>446</v>
      </c>
      <c r="C3" s="44" t="s">
        <v>25</v>
      </c>
      <c r="D3" s="44"/>
      <c r="E3" s="46">
        <v>4</v>
      </c>
      <c r="F3" s="141" t="s">
        <v>56</v>
      </c>
      <c r="G3" s="83"/>
    </row>
    <row r="4" spans="1:7" x14ac:dyDescent="0.25">
      <c r="A4" s="109"/>
      <c r="B4" s="44" t="s">
        <v>447</v>
      </c>
      <c r="C4" s="44" t="s">
        <v>31</v>
      </c>
      <c r="D4" s="44"/>
      <c r="E4" s="46">
        <v>2</v>
      </c>
      <c r="F4" s="141" t="s">
        <v>448</v>
      </c>
      <c r="G4" s="83"/>
    </row>
    <row r="5" spans="1:7" x14ac:dyDescent="0.25">
      <c r="A5" s="109"/>
      <c r="B5" s="44" t="s">
        <v>57</v>
      </c>
      <c r="C5" s="44" t="s">
        <v>31</v>
      </c>
      <c r="D5" s="44"/>
      <c r="E5" s="46">
        <v>2</v>
      </c>
      <c r="F5" s="141" t="s">
        <v>58</v>
      </c>
      <c r="G5" s="83"/>
    </row>
    <row r="6" spans="1:7" x14ac:dyDescent="0.25">
      <c r="A6" s="109"/>
      <c r="B6" s="44" t="s">
        <v>59</v>
      </c>
      <c r="C6" s="44" t="s">
        <v>31</v>
      </c>
      <c r="D6" s="44"/>
      <c r="E6" s="46">
        <v>1</v>
      </c>
      <c r="F6" s="141" t="s">
        <v>60</v>
      </c>
      <c r="G6" s="83"/>
    </row>
    <row r="7" spans="1:7" x14ac:dyDescent="0.25">
      <c r="A7" s="109"/>
      <c r="B7" s="44" t="s">
        <v>61</v>
      </c>
      <c r="C7" s="44" t="s">
        <v>31</v>
      </c>
      <c r="D7" s="44"/>
      <c r="E7" s="46">
        <v>2</v>
      </c>
      <c r="F7" s="141" t="s">
        <v>62</v>
      </c>
      <c r="G7" s="83"/>
    </row>
    <row r="8" spans="1:7" x14ac:dyDescent="0.25">
      <c r="A8" s="109"/>
      <c r="B8" s="44" t="s">
        <v>449</v>
      </c>
      <c r="C8" s="44" t="s">
        <v>31</v>
      </c>
      <c r="D8" s="44"/>
      <c r="E8" s="46">
        <v>3</v>
      </c>
      <c r="F8" s="141" t="s">
        <v>64</v>
      </c>
      <c r="G8" s="83"/>
    </row>
    <row r="9" spans="1:7" x14ac:dyDescent="0.25">
      <c r="A9" s="109"/>
      <c r="B9" s="44" t="s">
        <v>65</v>
      </c>
      <c r="C9" s="44" t="s">
        <v>31</v>
      </c>
      <c r="D9" s="44"/>
      <c r="E9" s="46">
        <v>8</v>
      </c>
      <c r="F9" s="141" t="s">
        <v>66</v>
      </c>
      <c r="G9" s="83"/>
    </row>
    <row r="10" spans="1:7" x14ac:dyDescent="0.25">
      <c r="A10" s="109"/>
      <c r="B10" s="44" t="s">
        <v>67</v>
      </c>
      <c r="C10" s="44" t="s">
        <v>31</v>
      </c>
      <c r="D10" s="44"/>
      <c r="E10" s="46">
        <v>1</v>
      </c>
      <c r="F10" s="141" t="s">
        <v>68</v>
      </c>
      <c r="G10" s="83"/>
    </row>
    <row r="11" spans="1:7" x14ac:dyDescent="0.25">
      <c r="A11" s="109"/>
      <c r="B11" s="44" t="s">
        <v>69</v>
      </c>
      <c r="C11" s="44" t="s">
        <v>31</v>
      </c>
      <c r="D11" s="44"/>
      <c r="E11" s="46">
        <v>3</v>
      </c>
      <c r="F11" s="141" t="s">
        <v>70</v>
      </c>
      <c r="G11" s="83"/>
    </row>
    <row r="12" spans="1:7" x14ac:dyDescent="0.25">
      <c r="A12" s="109"/>
      <c r="B12" s="44" t="s">
        <v>71</v>
      </c>
      <c r="C12" s="44" t="s">
        <v>31</v>
      </c>
      <c r="D12" s="44"/>
      <c r="E12" s="46">
        <v>1</v>
      </c>
      <c r="F12" s="141" t="s">
        <v>72</v>
      </c>
      <c r="G12" s="83"/>
    </row>
    <row r="13" spans="1:7" x14ac:dyDescent="0.25">
      <c r="A13" s="110"/>
      <c r="B13" s="44" t="s">
        <v>37</v>
      </c>
      <c r="C13" s="44" t="s">
        <v>31</v>
      </c>
      <c r="D13" s="44"/>
      <c r="E13" s="46">
        <v>1</v>
      </c>
      <c r="F13" s="141" t="s">
        <v>73</v>
      </c>
      <c r="G13" s="83"/>
    </row>
    <row r="14" spans="1:7" x14ac:dyDescent="0.25">
      <c r="A14" s="129" t="s">
        <v>445</v>
      </c>
      <c r="B14" s="115" t="s">
        <v>109</v>
      </c>
      <c r="C14" s="83"/>
      <c r="D14" s="83"/>
      <c r="E14" s="83"/>
      <c r="F14" s="83"/>
      <c r="G14" s="84"/>
    </row>
    <row r="15" spans="1:7" x14ac:dyDescent="0.25">
      <c r="A15" s="109"/>
      <c r="B15" s="116" t="s">
        <v>110</v>
      </c>
      <c r="C15" s="83"/>
      <c r="D15" s="83"/>
      <c r="E15" s="83"/>
      <c r="F15" s="83"/>
      <c r="G15" s="84"/>
    </row>
    <row r="16" spans="1:7" x14ac:dyDescent="0.25">
      <c r="A16" s="109"/>
      <c r="B16" s="140" t="s">
        <v>111</v>
      </c>
      <c r="C16" s="38" t="s">
        <v>19</v>
      </c>
      <c r="D16" s="38" t="s">
        <v>112</v>
      </c>
      <c r="E16" s="38" t="s">
        <v>113</v>
      </c>
      <c r="F16" s="127"/>
      <c r="G16" s="84"/>
    </row>
    <row r="17" spans="1:7" x14ac:dyDescent="0.25">
      <c r="A17" s="109"/>
      <c r="B17" s="109"/>
      <c r="C17" s="129" t="s">
        <v>298</v>
      </c>
      <c r="D17" s="63" t="s">
        <v>117</v>
      </c>
      <c r="E17" s="63"/>
      <c r="F17" s="132" t="s">
        <v>299</v>
      </c>
      <c r="G17" s="133"/>
    </row>
    <row r="18" spans="1:7" x14ac:dyDescent="0.25">
      <c r="A18" s="109"/>
      <c r="B18" s="109"/>
      <c r="C18" s="109"/>
      <c r="D18" s="63" t="s">
        <v>121</v>
      </c>
      <c r="E18" s="63"/>
      <c r="F18" s="134"/>
      <c r="G18" s="135"/>
    </row>
    <row r="19" spans="1:7" ht="28" customHeight="1" x14ac:dyDescent="0.25">
      <c r="A19" s="109"/>
      <c r="B19" s="109"/>
      <c r="C19" s="109"/>
      <c r="D19" s="63" t="s">
        <v>123</v>
      </c>
      <c r="E19" s="63"/>
      <c r="F19" s="134"/>
      <c r="G19" s="135"/>
    </row>
    <row r="20" spans="1:7" ht="28" customHeight="1" x14ac:dyDescent="0.25">
      <c r="A20" s="109"/>
      <c r="B20" s="109"/>
      <c r="C20" s="109"/>
      <c r="D20" s="63" t="s">
        <v>125</v>
      </c>
      <c r="E20" s="63"/>
      <c r="F20" s="136"/>
      <c r="G20" s="137"/>
    </row>
    <row r="21" spans="1:7" x14ac:dyDescent="0.25">
      <c r="A21" s="109"/>
      <c r="B21" s="109"/>
      <c r="C21" s="114" t="s">
        <v>450</v>
      </c>
      <c r="D21" s="63" t="s">
        <v>292</v>
      </c>
      <c r="E21" s="63"/>
      <c r="F21" s="132" t="s">
        <v>406</v>
      </c>
      <c r="G21" s="133"/>
    </row>
    <row r="22" spans="1:7" x14ac:dyDescent="0.25">
      <c r="A22" s="109"/>
      <c r="B22" s="109"/>
      <c r="C22" s="109"/>
      <c r="D22" s="63" t="s">
        <v>407</v>
      </c>
      <c r="E22" s="63"/>
      <c r="F22" s="134"/>
      <c r="G22" s="135"/>
    </row>
    <row r="23" spans="1:7" x14ac:dyDescent="0.25">
      <c r="A23" s="109"/>
      <c r="B23" s="109"/>
      <c r="C23" s="109"/>
      <c r="D23" s="63" t="s">
        <v>295</v>
      </c>
      <c r="E23" s="63"/>
      <c r="F23" s="134"/>
      <c r="G23" s="135"/>
    </row>
    <row r="24" spans="1:7" x14ac:dyDescent="0.25">
      <c r="A24" s="109"/>
      <c r="B24" s="109"/>
      <c r="C24" s="109"/>
      <c r="D24" s="63" t="s">
        <v>296</v>
      </c>
      <c r="E24" s="63"/>
      <c r="F24" s="134"/>
      <c r="G24" s="135"/>
    </row>
    <row r="25" spans="1:7" x14ac:dyDescent="0.25">
      <c r="A25" s="109"/>
      <c r="B25" s="109"/>
      <c r="C25" s="109"/>
      <c r="D25" s="37" t="s">
        <v>297</v>
      </c>
      <c r="E25" s="63"/>
      <c r="F25" s="134"/>
      <c r="G25" s="135"/>
    </row>
    <row r="26" spans="1:7" x14ac:dyDescent="0.25">
      <c r="A26" s="109"/>
      <c r="B26" s="109"/>
      <c r="C26" s="110"/>
      <c r="D26" s="37" t="s">
        <v>408</v>
      </c>
      <c r="E26" s="63"/>
      <c r="F26" s="136"/>
      <c r="G26" s="137"/>
    </row>
    <row r="27" spans="1:7" x14ac:dyDescent="0.25">
      <c r="A27" s="109"/>
      <c r="B27" s="109"/>
      <c r="C27" s="114" t="s">
        <v>137</v>
      </c>
      <c r="D27" s="67" t="s">
        <v>138</v>
      </c>
      <c r="E27" s="67"/>
      <c r="F27" s="132" t="s">
        <v>300</v>
      </c>
      <c r="G27" s="133"/>
    </row>
    <row r="28" spans="1:7" x14ac:dyDescent="0.25">
      <c r="A28" s="109"/>
      <c r="B28" s="109"/>
      <c r="C28" s="109"/>
      <c r="D28" s="67" t="s">
        <v>141</v>
      </c>
      <c r="E28" s="67"/>
      <c r="F28" s="134"/>
      <c r="G28" s="135"/>
    </row>
    <row r="29" spans="1:7" x14ac:dyDescent="0.25">
      <c r="A29" s="109"/>
      <c r="B29" s="109"/>
      <c r="C29" s="109"/>
      <c r="D29" s="63" t="s">
        <v>143</v>
      </c>
      <c r="E29" s="67"/>
      <c r="F29" s="134"/>
      <c r="G29" s="135"/>
    </row>
    <row r="30" spans="1:7" x14ac:dyDescent="0.25">
      <c r="A30" s="109"/>
      <c r="B30" s="110"/>
      <c r="C30" s="110"/>
      <c r="D30" s="63" t="s">
        <v>144</v>
      </c>
      <c r="E30" s="67"/>
      <c r="F30" s="136"/>
      <c r="G30" s="137"/>
    </row>
    <row r="31" spans="1:7" x14ac:dyDescent="0.25">
      <c r="A31" s="109"/>
      <c r="B31" s="116" t="s">
        <v>155</v>
      </c>
      <c r="C31" s="83"/>
      <c r="D31" s="83"/>
      <c r="E31" s="83"/>
      <c r="F31" s="83"/>
      <c r="G31" s="84"/>
    </row>
    <row r="32" spans="1:7" x14ac:dyDescent="0.25">
      <c r="A32" s="109"/>
      <c r="B32" s="117" t="s">
        <v>156</v>
      </c>
      <c r="C32" s="38" t="s">
        <v>19</v>
      </c>
      <c r="D32" s="38" t="s">
        <v>157</v>
      </c>
      <c r="E32" s="38" t="s">
        <v>158</v>
      </c>
      <c r="F32" s="38" t="s">
        <v>159</v>
      </c>
      <c r="G32" s="38" t="s">
        <v>160</v>
      </c>
    </row>
    <row r="33" spans="1:7" ht="28" customHeight="1" x14ac:dyDescent="0.25">
      <c r="A33" s="109"/>
      <c r="B33" s="97"/>
      <c r="C33" s="114" t="s">
        <v>291</v>
      </c>
      <c r="D33" s="63" t="s">
        <v>292</v>
      </c>
      <c r="E33" s="63" t="s">
        <v>451</v>
      </c>
      <c r="F33" s="63" t="s">
        <v>452</v>
      </c>
      <c r="G33" s="63" t="s">
        <v>453</v>
      </c>
    </row>
    <row r="34" spans="1:7" ht="42" customHeight="1" x14ac:dyDescent="0.25">
      <c r="A34" s="109"/>
      <c r="B34" s="97"/>
      <c r="C34" s="109"/>
      <c r="D34" s="63" t="s">
        <v>407</v>
      </c>
      <c r="E34" s="63" t="s">
        <v>451</v>
      </c>
      <c r="F34" s="63" t="s">
        <v>452</v>
      </c>
      <c r="G34" s="63" t="s">
        <v>454</v>
      </c>
    </row>
    <row r="35" spans="1:7" ht="56" customHeight="1" x14ac:dyDescent="0.25">
      <c r="A35" s="109"/>
      <c r="B35" s="97"/>
      <c r="C35" s="109"/>
      <c r="D35" s="63" t="s">
        <v>295</v>
      </c>
      <c r="E35" s="63" t="s">
        <v>451</v>
      </c>
      <c r="F35" s="63" t="s">
        <v>452</v>
      </c>
      <c r="G35" s="63" t="s">
        <v>455</v>
      </c>
    </row>
    <row r="36" spans="1:7" ht="56" customHeight="1" x14ac:dyDescent="0.25">
      <c r="A36" s="109"/>
      <c r="B36" s="98"/>
      <c r="C36" s="110"/>
      <c r="D36" s="63" t="s">
        <v>296</v>
      </c>
      <c r="E36" s="63" t="s">
        <v>451</v>
      </c>
      <c r="F36" s="63" t="s">
        <v>452</v>
      </c>
      <c r="G36" s="63" t="s">
        <v>456</v>
      </c>
    </row>
    <row r="37" spans="1:7" x14ac:dyDescent="0.25">
      <c r="A37" s="109"/>
      <c r="B37" s="116" t="s">
        <v>162</v>
      </c>
      <c r="C37" s="83"/>
      <c r="D37" s="83"/>
      <c r="E37" s="83"/>
      <c r="F37" s="83"/>
      <c r="G37" s="84"/>
    </row>
    <row r="38" spans="1:7" x14ac:dyDescent="0.25">
      <c r="A38" s="109"/>
      <c r="B38" s="65" t="s">
        <v>163</v>
      </c>
      <c r="C38" s="116" t="s">
        <v>164</v>
      </c>
      <c r="D38" s="83"/>
      <c r="E38" s="84"/>
      <c r="F38" s="39" t="s">
        <v>165</v>
      </c>
      <c r="G38" s="39" t="s">
        <v>166</v>
      </c>
    </row>
    <row r="39" spans="1:7" ht="182" customHeight="1" x14ac:dyDescent="0.25">
      <c r="A39" s="109"/>
      <c r="B39" s="43" t="s">
        <v>457</v>
      </c>
      <c r="C39" s="128" t="s">
        <v>458</v>
      </c>
      <c r="D39" s="83"/>
      <c r="E39" s="84"/>
      <c r="F39" s="44" t="s">
        <v>419</v>
      </c>
      <c r="G39" s="36" t="s">
        <v>459</v>
      </c>
    </row>
    <row r="40" spans="1:7" x14ac:dyDescent="0.25">
      <c r="A40" s="109"/>
      <c r="B40" s="119" t="s">
        <v>171</v>
      </c>
      <c r="C40" s="83"/>
      <c r="D40" s="83"/>
      <c r="E40" s="83"/>
      <c r="F40" s="83"/>
      <c r="G40" s="84"/>
    </row>
    <row r="41" spans="1:7" x14ac:dyDescent="0.25">
      <c r="A41" s="109"/>
      <c r="B41" s="38" t="s">
        <v>163</v>
      </c>
      <c r="C41" s="38" t="s">
        <v>172</v>
      </c>
      <c r="D41" s="38" t="s">
        <v>19</v>
      </c>
      <c r="E41" s="38" t="s">
        <v>173</v>
      </c>
      <c r="F41" s="38" t="s">
        <v>174</v>
      </c>
      <c r="G41" s="38" t="s">
        <v>175</v>
      </c>
    </row>
    <row r="42" spans="1:7" ht="196" customHeight="1" x14ac:dyDescent="0.25">
      <c r="A42" s="109"/>
      <c r="B42" s="40" t="s">
        <v>457</v>
      </c>
      <c r="C42" s="40" t="s">
        <v>460</v>
      </c>
      <c r="D42" s="40" t="s">
        <v>461</v>
      </c>
      <c r="E42" s="40" t="s">
        <v>462</v>
      </c>
      <c r="F42" s="40" t="s">
        <v>463</v>
      </c>
      <c r="G42" s="40" t="s">
        <v>464</v>
      </c>
    </row>
    <row r="43" spans="1:7" x14ac:dyDescent="0.25">
      <c r="A43" s="129" t="s">
        <v>446</v>
      </c>
      <c r="B43" s="115" t="s">
        <v>109</v>
      </c>
      <c r="C43" s="83"/>
      <c r="D43" s="83"/>
      <c r="E43" s="83"/>
      <c r="F43" s="83"/>
      <c r="G43" s="84"/>
    </row>
    <row r="44" spans="1:7" x14ac:dyDescent="0.25">
      <c r="A44" s="109"/>
      <c r="B44" s="116" t="s">
        <v>110</v>
      </c>
      <c r="C44" s="83"/>
      <c r="D44" s="83"/>
      <c r="E44" s="83"/>
      <c r="F44" s="83"/>
      <c r="G44" s="84"/>
    </row>
    <row r="45" spans="1:7" x14ac:dyDescent="0.25">
      <c r="A45" s="109"/>
      <c r="B45" s="117" t="s">
        <v>111</v>
      </c>
      <c r="C45" s="38" t="s">
        <v>19</v>
      </c>
      <c r="D45" s="38" t="s">
        <v>112</v>
      </c>
      <c r="E45" s="38" t="s">
        <v>113</v>
      </c>
      <c r="F45" s="127"/>
      <c r="G45" s="84"/>
    </row>
    <row r="46" spans="1:7" x14ac:dyDescent="0.25">
      <c r="A46" s="109"/>
      <c r="B46" s="97"/>
      <c r="C46" s="129" t="s">
        <v>298</v>
      </c>
      <c r="D46" s="63" t="s">
        <v>117</v>
      </c>
      <c r="E46" s="63"/>
      <c r="F46" s="132" t="s">
        <v>299</v>
      </c>
      <c r="G46" s="133"/>
    </row>
    <row r="47" spans="1:7" x14ac:dyDescent="0.25">
      <c r="A47" s="109"/>
      <c r="B47" s="97"/>
      <c r="C47" s="109"/>
      <c r="D47" s="63" t="s">
        <v>121</v>
      </c>
      <c r="E47" s="63"/>
      <c r="F47" s="134"/>
      <c r="G47" s="135"/>
    </row>
    <row r="48" spans="1:7" ht="28" customHeight="1" x14ac:dyDescent="0.25">
      <c r="A48" s="109"/>
      <c r="B48" s="97"/>
      <c r="C48" s="109"/>
      <c r="D48" s="50" t="s">
        <v>123</v>
      </c>
      <c r="E48" s="63"/>
      <c r="F48" s="134"/>
      <c r="G48" s="135"/>
    </row>
    <row r="49" spans="1:7" ht="28" customHeight="1" x14ac:dyDescent="0.25">
      <c r="A49" s="109"/>
      <c r="B49" s="97"/>
      <c r="C49" s="109"/>
      <c r="D49" s="63" t="s">
        <v>125</v>
      </c>
      <c r="E49" s="63"/>
      <c r="F49" s="136"/>
      <c r="G49" s="137"/>
    </row>
    <row r="50" spans="1:7" x14ac:dyDescent="0.25">
      <c r="A50" s="109"/>
      <c r="B50" s="97"/>
      <c r="C50" s="114" t="s">
        <v>450</v>
      </c>
      <c r="D50" s="63" t="s">
        <v>292</v>
      </c>
      <c r="E50" s="63"/>
      <c r="F50" s="132" t="s">
        <v>406</v>
      </c>
      <c r="G50" s="133"/>
    </row>
    <row r="51" spans="1:7" x14ac:dyDescent="0.25">
      <c r="A51" s="109"/>
      <c r="B51" s="97"/>
      <c r="C51" s="109"/>
      <c r="D51" s="63" t="s">
        <v>407</v>
      </c>
      <c r="E51" s="63"/>
      <c r="F51" s="134"/>
      <c r="G51" s="135"/>
    </row>
    <row r="52" spans="1:7" x14ac:dyDescent="0.25">
      <c r="A52" s="109"/>
      <c r="B52" s="97"/>
      <c r="C52" s="109"/>
      <c r="D52" s="63" t="s">
        <v>295</v>
      </c>
      <c r="E52" s="63"/>
      <c r="F52" s="134"/>
      <c r="G52" s="135"/>
    </row>
    <row r="53" spans="1:7" x14ac:dyDescent="0.25">
      <c r="A53" s="109"/>
      <c r="B53" s="97"/>
      <c r="C53" s="109"/>
      <c r="D53" s="63" t="s">
        <v>296</v>
      </c>
      <c r="E53" s="63"/>
      <c r="F53" s="134"/>
      <c r="G53" s="135"/>
    </row>
    <row r="54" spans="1:7" x14ac:dyDescent="0.25">
      <c r="A54" s="109"/>
      <c r="B54" s="97"/>
      <c r="C54" s="109"/>
      <c r="D54" s="37" t="s">
        <v>297</v>
      </c>
      <c r="E54" s="63"/>
      <c r="F54" s="134"/>
      <c r="G54" s="135"/>
    </row>
    <row r="55" spans="1:7" x14ac:dyDescent="0.25">
      <c r="A55" s="109"/>
      <c r="B55" s="98"/>
      <c r="C55" s="110"/>
      <c r="D55" s="37" t="s">
        <v>408</v>
      </c>
      <c r="E55" s="63"/>
      <c r="F55" s="136"/>
      <c r="G55" s="137"/>
    </row>
    <row r="56" spans="1:7" x14ac:dyDescent="0.25">
      <c r="A56" s="109"/>
      <c r="B56" s="116" t="s">
        <v>155</v>
      </c>
      <c r="C56" s="83"/>
      <c r="D56" s="83"/>
      <c r="E56" s="83"/>
      <c r="F56" s="83"/>
      <c r="G56" s="84"/>
    </row>
    <row r="57" spans="1:7" x14ac:dyDescent="0.25">
      <c r="A57" s="109"/>
      <c r="B57" s="117" t="s">
        <v>156</v>
      </c>
      <c r="C57" s="38" t="s">
        <v>19</v>
      </c>
      <c r="D57" s="38" t="s">
        <v>157</v>
      </c>
      <c r="E57" s="38" t="s">
        <v>158</v>
      </c>
      <c r="F57" s="38" t="s">
        <v>159</v>
      </c>
      <c r="G57" s="38" t="s">
        <v>160</v>
      </c>
    </row>
    <row r="58" spans="1:7" ht="28" customHeight="1" x14ac:dyDescent="0.25">
      <c r="A58" s="109"/>
      <c r="B58" s="97"/>
      <c r="C58" s="114" t="s">
        <v>291</v>
      </c>
      <c r="D58" s="63" t="s">
        <v>292</v>
      </c>
      <c r="E58" s="63" t="s">
        <v>399</v>
      </c>
      <c r="F58" s="63" t="s">
        <v>409</v>
      </c>
      <c r="G58" s="63" t="s">
        <v>410</v>
      </c>
    </row>
    <row r="59" spans="1:7" x14ac:dyDescent="0.25">
      <c r="A59" s="109"/>
      <c r="B59" s="97"/>
      <c r="C59" s="109"/>
      <c r="D59" s="63" t="s">
        <v>407</v>
      </c>
      <c r="E59" s="63" t="s">
        <v>399</v>
      </c>
      <c r="F59" s="63" t="s">
        <v>411</v>
      </c>
      <c r="G59" s="63" t="s">
        <v>412</v>
      </c>
    </row>
    <row r="60" spans="1:7" x14ac:dyDescent="0.25">
      <c r="A60" s="109"/>
      <c r="B60" s="97"/>
      <c r="C60" s="109"/>
      <c r="D60" s="63" t="s">
        <v>295</v>
      </c>
      <c r="E60" s="63" t="s">
        <v>399</v>
      </c>
      <c r="F60" s="63" t="s">
        <v>413</v>
      </c>
      <c r="G60" s="63" t="s">
        <v>414</v>
      </c>
    </row>
    <row r="61" spans="1:7" ht="28" customHeight="1" x14ac:dyDescent="0.25">
      <c r="A61" s="109"/>
      <c r="B61" s="98"/>
      <c r="C61" s="110"/>
      <c r="D61" s="63" t="s">
        <v>296</v>
      </c>
      <c r="E61" s="63" t="s">
        <v>399</v>
      </c>
      <c r="F61" s="63" t="s">
        <v>415</v>
      </c>
      <c r="G61" s="63" t="s">
        <v>416</v>
      </c>
    </row>
    <row r="62" spans="1:7" x14ac:dyDescent="0.25">
      <c r="A62" s="109"/>
      <c r="B62" s="116" t="s">
        <v>162</v>
      </c>
      <c r="C62" s="83"/>
      <c r="D62" s="83"/>
      <c r="E62" s="83"/>
      <c r="F62" s="83"/>
      <c r="G62" s="84"/>
    </row>
    <row r="63" spans="1:7" x14ac:dyDescent="0.25">
      <c r="A63" s="109"/>
      <c r="B63" s="65" t="s">
        <v>163</v>
      </c>
      <c r="C63" s="116" t="s">
        <v>164</v>
      </c>
      <c r="D63" s="83"/>
      <c r="E63" s="84"/>
      <c r="F63" s="39" t="s">
        <v>165</v>
      </c>
      <c r="G63" s="39" t="s">
        <v>166</v>
      </c>
    </row>
    <row r="64" spans="1:7" ht="84" customHeight="1" x14ac:dyDescent="0.25">
      <c r="A64" s="109"/>
      <c r="B64" s="43" t="s">
        <v>465</v>
      </c>
      <c r="C64" s="128" t="s">
        <v>466</v>
      </c>
      <c r="D64" s="83"/>
      <c r="E64" s="84"/>
      <c r="F64" s="44" t="s">
        <v>419</v>
      </c>
      <c r="G64" s="36" t="s">
        <v>467</v>
      </c>
    </row>
    <row r="65" spans="1:7" x14ac:dyDescent="0.25">
      <c r="A65" s="109"/>
      <c r="B65" s="119" t="s">
        <v>171</v>
      </c>
      <c r="C65" s="83"/>
      <c r="D65" s="83"/>
      <c r="E65" s="83"/>
      <c r="F65" s="83"/>
      <c r="G65" s="84"/>
    </row>
    <row r="66" spans="1:7" x14ac:dyDescent="0.25">
      <c r="A66" s="109"/>
      <c r="B66" s="38" t="s">
        <v>163</v>
      </c>
      <c r="C66" s="38" t="s">
        <v>172</v>
      </c>
      <c r="D66" s="38" t="s">
        <v>19</v>
      </c>
      <c r="E66" s="38" t="s">
        <v>173</v>
      </c>
      <c r="F66" s="38" t="s">
        <v>174</v>
      </c>
      <c r="G66" s="38" t="s">
        <v>175</v>
      </c>
    </row>
    <row r="67" spans="1:7" ht="126" customHeight="1" x14ac:dyDescent="0.25">
      <c r="A67" s="109"/>
      <c r="B67" s="40" t="s">
        <v>465</v>
      </c>
      <c r="C67" s="40" t="s">
        <v>468</v>
      </c>
      <c r="D67" s="40" t="s">
        <v>467</v>
      </c>
      <c r="E67" s="40" t="s">
        <v>462</v>
      </c>
      <c r="F67" s="40" t="s">
        <v>469</v>
      </c>
      <c r="G67" s="40" t="s">
        <v>470</v>
      </c>
    </row>
    <row r="68" spans="1:7" x14ac:dyDescent="0.25">
      <c r="A68" s="114" t="s">
        <v>471</v>
      </c>
      <c r="B68" s="121" t="s">
        <v>180</v>
      </c>
      <c r="C68" s="91"/>
      <c r="D68" s="91"/>
      <c r="E68" s="91"/>
      <c r="F68" s="91"/>
      <c r="G68" s="92"/>
    </row>
    <row r="69" spans="1:7" x14ac:dyDescent="0.25">
      <c r="A69" s="109"/>
      <c r="B69" s="122" t="s">
        <v>181</v>
      </c>
      <c r="C69" s="91"/>
      <c r="D69" s="91"/>
      <c r="E69" s="91"/>
      <c r="F69" s="91"/>
      <c r="G69" s="92"/>
    </row>
    <row r="70" spans="1:7" x14ac:dyDescent="0.25">
      <c r="A70" s="109"/>
      <c r="B70" s="64" t="s">
        <v>163</v>
      </c>
      <c r="C70" s="122" t="s">
        <v>164</v>
      </c>
      <c r="D70" s="91"/>
      <c r="E70" s="92"/>
      <c r="F70" s="34" t="s">
        <v>165</v>
      </c>
      <c r="G70" s="34" t="s">
        <v>166</v>
      </c>
    </row>
    <row r="71" spans="1:7" ht="98" customHeight="1" x14ac:dyDescent="0.25">
      <c r="A71" s="109"/>
      <c r="B71" s="20" t="s">
        <v>472</v>
      </c>
      <c r="C71" s="123" t="s">
        <v>473</v>
      </c>
      <c r="D71" s="91"/>
      <c r="E71" s="92"/>
      <c r="F71" s="17"/>
      <c r="G71" s="15" t="s">
        <v>474</v>
      </c>
    </row>
    <row r="72" spans="1:7" ht="98" customHeight="1" x14ac:dyDescent="0.25">
      <c r="A72" s="109"/>
      <c r="B72" s="20" t="s">
        <v>475</v>
      </c>
      <c r="C72" s="123" t="s">
        <v>473</v>
      </c>
      <c r="D72" s="91"/>
      <c r="E72" s="92"/>
      <c r="F72" s="17"/>
      <c r="G72" s="15" t="s">
        <v>474</v>
      </c>
    </row>
    <row r="73" spans="1:7" x14ac:dyDescent="0.25">
      <c r="A73" s="109"/>
      <c r="B73" s="124" t="s">
        <v>183</v>
      </c>
      <c r="C73" s="91"/>
      <c r="D73" s="91"/>
      <c r="E73" s="91"/>
      <c r="F73" s="91"/>
      <c r="G73" s="92"/>
    </row>
    <row r="74" spans="1:7" x14ac:dyDescent="0.25">
      <c r="A74" s="109"/>
      <c r="B74" s="21" t="s">
        <v>163</v>
      </c>
      <c r="C74" s="21" t="s">
        <v>172</v>
      </c>
      <c r="D74" s="21" t="s">
        <v>19</v>
      </c>
      <c r="E74" s="21" t="s">
        <v>173</v>
      </c>
      <c r="F74" s="21" t="s">
        <v>174</v>
      </c>
      <c r="G74" s="21" t="s">
        <v>175</v>
      </c>
    </row>
    <row r="75" spans="1:7" ht="98" customHeight="1" x14ac:dyDescent="0.25">
      <c r="A75" s="109"/>
      <c r="B75" s="18" t="s">
        <v>472</v>
      </c>
      <c r="C75" s="18" t="s">
        <v>476</v>
      </c>
      <c r="D75" s="18" t="s">
        <v>477</v>
      </c>
      <c r="E75" s="40" t="s">
        <v>462</v>
      </c>
      <c r="F75" s="18" t="s">
        <v>478</v>
      </c>
      <c r="G75" s="18" t="s">
        <v>479</v>
      </c>
    </row>
    <row r="76" spans="1:7" ht="70" customHeight="1" x14ac:dyDescent="0.25">
      <c r="A76" s="110"/>
      <c r="B76" s="18" t="s">
        <v>475</v>
      </c>
      <c r="C76" s="18" t="s">
        <v>480</v>
      </c>
      <c r="D76" s="18" t="s">
        <v>481</v>
      </c>
      <c r="E76" s="40" t="s">
        <v>462</v>
      </c>
      <c r="F76" s="18" t="s">
        <v>482</v>
      </c>
      <c r="G76" s="18" t="s">
        <v>483</v>
      </c>
    </row>
    <row r="77" spans="1:7" x14ac:dyDescent="0.25">
      <c r="A77" s="114" t="s">
        <v>484</v>
      </c>
      <c r="B77" s="121" t="s">
        <v>180</v>
      </c>
      <c r="C77" s="91"/>
      <c r="D77" s="91"/>
      <c r="E77" s="91"/>
      <c r="F77" s="91"/>
      <c r="G77" s="92"/>
    </row>
    <row r="78" spans="1:7" x14ac:dyDescent="0.25">
      <c r="A78" s="109"/>
      <c r="B78" s="122" t="s">
        <v>181</v>
      </c>
      <c r="C78" s="91"/>
      <c r="D78" s="91"/>
      <c r="E78" s="91"/>
      <c r="F78" s="91"/>
      <c r="G78" s="92"/>
    </row>
    <row r="79" spans="1:7" x14ac:dyDescent="0.25">
      <c r="A79" s="109"/>
      <c r="B79" s="64" t="s">
        <v>163</v>
      </c>
      <c r="C79" s="122" t="s">
        <v>164</v>
      </c>
      <c r="D79" s="91"/>
      <c r="E79" s="92"/>
      <c r="F79" s="34" t="s">
        <v>165</v>
      </c>
      <c r="G79" s="34" t="s">
        <v>166</v>
      </c>
    </row>
    <row r="80" spans="1:7" ht="42" customHeight="1" x14ac:dyDescent="0.25">
      <c r="A80" s="109"/>
      <c r="B80" s="20" t="s">
        <v>485</v>
      </c>
      <c r="C80" s="123" t="s">
        <v>486</v>
      </c>
      <c r="D80" s="91"/>
      <c r="E80" s="92"/>
      <c r="F80" s="17"/>
      <c r="G80" s="15" t="s">
        <v>487</v>
      </c>
    </row>
    <row r="81" spans="1:7" x14ac:dyDescent="0.25">
      <c r="A81" s="109"/>
      <c r="B81" s="124" t="s">
        <v>183</v>
      </c>
      <c r="C81" s="91"/>
      <c r="D81" s="91"/>
      <c r="E81" s="91"/>
      <c r="F81" s="91"/>
      <c r="G81" s="92"/>
    </row>
    <row r="82" spans="1:7" x14ac:dyDescent="0.25">
      <c r="A82" s="109"/>
      <c r="B82" s="21" t="s">
        <v>163</v>
      </c>
      <c r="C82" s="21" t="s">
        <v>172</v>
      </c>
      <c r="D82" s="21" t="s">
        <v>19</v>
      </c>
      <c r="E82" s="21" t="s">
        <v>173</v>
      </c>
      <c r="F82" s="21" t="s">
        <v>174</v>
      </c>
      <c r="G82" s="21" t="s">
        <v>175</v>
      </c>
    </row>
    <row r="83" spans="1:7" ht="56" customHeight="1" x14ac:dyDescent="0.25">
      <c r="A83" s="109"/>
      <c r="B83" s="18" t="s">
        <v>488</v>
      </c>
      <c r="C83" s="18" t="s">
        <v>489</v>
      </c>
      <c r="D83" s="18" t="s">
        <v>490</v>
      </c>
      <c r="E83" s="40" t="s">
        <v>462</v>
      </c>
      <c r="F83" s="18" t="s">
        <v>491</v>
      </c>
      <c r="G83" s="18" t="s">
        <v>492</v>
      </c>
    </row>
    <row r="84" spans="1:7" ht="56" customHeight="1" x14ac:dyDescent="0.25">
      <c r="A84" s="110"/>
      <c r="B84" s="18" t="s">
        <v>493</v>
      </c>
      <c r="C84" s="18" t="s">
        <v>494</v>
      </c>
      <c r="D84" s="18" t="s">
        <v>495</v>
      </c>
      <c r="E84" s="40" t="s">
        <v>462</v>
      </c>
      <c r="F84" s="18" t="s">
        <v>496</v>
      </c>
      <c r="G84" s="18" t="s">
        <v>492</v>
      </c>
    </row>
    <row r="85" spans="1:7" x14ac:dyDescent="0.25">
      <c r="A85" s="114" t="s">
        <v>59</v>
      </c>
      <c r="B85" s="121" t="s">
        <v>180</v>
      </c>
      <c r="C85" s="91"/>
      <c r="D85" s="91"/>
      <c r="E85" s="91"/>
      <c r="F85" s="91"/>
      <c r="G85" s="92"/>
    </row>
    <row r="86" spans="1:7" x14ac:dyDescent="0.25">
      <c r="A86" s="109"/>
      <c r="B86" s="122" t="s">
        <v>181</v>
      </c>
      <c r="C86" s="91"/>
      <c r="D86" s="91"/>
      <c r="E86" s="91"/>
      <c r="F86" s="91"/>
      <c r="G86" s="92"/>
    </row>
    <row r="87" spans="1:7" x14ac:dyDescent="0.25">
      <c r="A87" s="109"/>
      <c r="B87" s="64" t="s">
        <v>163</v>
      </c>
      <c r="C87" s="122" t="s">
        <v>164</v>
      </c>
      <c r="D87" s="91"/>
      <c r="E87" s="92"/>
      <c r="F87" s="34" t="s">
        <v>165</v>
      </c>
      <c r="G87" s="34" t="s">
        <v>166</v>
      </c>
    </row>
    <row r="88" spans="1:7" ht="28" customHeight="1" x14ac:dyDescent="0.25">
      <c r="A88" s="109"/>
      <c r="B88" s="20" t="s">
        <v>497</v>
      </c>
      <c r="C88" s="123" t="s">
        <v>498</v>
      </c>
      <c r="D88" s="91"/>
      <c r="E88" s="92"/>
      <c r="F88" s="17" t="s">
        <v>499</v>
      </c>
      <c r="G88" s="15" t="s">
        <v>500</v>
      </c>
    </row>
    <row r="89" spans="1:7" x14ac:dyDescent="0.25">
      <c r="A89" s="109"/>
      <c r="B89" s="124" t="s">
        <v>183</v>
      </c>
      <c r="C89" s="91"/>
      <c r="D89" s="91"/>
      <c r="E89" s="91"/>
      <c r="F89" s="91"/>
      <c r="G89" s="92"/>
    </row>
    <row r="90" spans="1:7" x14ac:dyDescent="0.25">
      <c r="A90" s="109"/>
      <c r="B90" s="21" t="s">
        <v>163</v>
      </c>
      <c r="C90" s="21" t="s">
        <v>172</v>
      </c>
      <c r="D90" s="21" t="s">
        <v>19</v>
      </c>
      <c r="E90" s="21" t="s">
        <v>173</v>
      </c>
      <c r="F90" s="21" t="s">
        <v>174</v>
      </c>
      <c r="G90" s="21" t="s">
        <v>175</v>
      </c>
    </row>
    <row r="91" spans="1:7" ht="238" customHeight="1" x14ac:dyDescent="0.25">
      <c r="A91" s="110"/>
      <c r="B91" s="18" t="s">
        <v>497</v>
      </c>
      <c r="C91" s="18" t="s">
        <v>498</v>
      </c>
      <c r="D91" s="18" t="s">
        <v>500</v>
      </c>
      <c r="E91" s="40" t="s">
        <v>462</v>
      </c>
      <c r="F91" s="18" t="s">
        <v>501</v>
      </c>
      <c r="G91" s="18" t="s">
        <v>502</v>
      </c>
    </row>
    <row r="92" spans="1:7" x14ac:dyDescent="0.25">
      <c r="A92" s="114" t="s">
        <v>61</v>
      </c>
      <c r="B92" s="121" t="s">
        <v>180</v>
      </c>
      <c r="C92" s="91"/>
      <c r="D92" s="91"/>
      <c r="E92" s="91"/>
      <c r="F92" s="91"/>
      <c r="G92" s="92"/>
    </row>
    <row r="93" spans="1:7" x14ac:dyDescent="0.25">
      <c r="A93" s="109"/>
      <c r="B93" s="122" t="s">
        <v>181</v>
      </c>
      <c r="C93" s="91"/>
      <c r="D93" s="91"/>
      <c r="E93" s="91"/>
      <c r="F93" s="91"/>
      <c r="G93" s="92"/>
    </row>
    <row r="94" spans="1:7" x14ac:dyDescent="0.25">
      <c r="A94" s="109"/>
      <c r="B94" s="64" t="s">
        <v>163</v>
      </c>
      <c r="C94" s="122" t="s">
        <v>164</v>
      </c>
      <c r="D94" s="91"/>
      <c r="E94" s="92"/>
      <c r="F94" s="34" t="s">
        <v>165</v>
      </c>
      <c r="G94" s="34" t="s">
        <v>166</v>
      </c>
    </row>
    <row r="95" spans="1:7" ht="56" customHeight="1" x14ac:dyDescent="0.25">
      <c r="A95" s="109"/>
      <c r="B95" s="20" t="s">
        <v>503</v>
      </c>
      <c r="C95" s="123" t="s">
        <v>498</v>
      </c>
      <c r="D95" s="91"/>
      <c r="E95" s="92"/>
      <c r="F95" s="17" t="s">
        <v>504</v>
      </c>
      <c r="G95" s="15" t="s">
        <v>505</v>
      </c>
    </row>
    <row r="96" spans="1:7" x14ac:dyDescent="0.25">
      <c r="A96" s="109"/>
      <c r="B96" s="124" t="s">
        <v>183</v>
      </c>
      <c r="C96" s="91"/>
      <c r="D96" s="91"/>
      <c r="E96" s="91"/>
      <c r="F96" s="91"/>
      <c r="G96" s="92"/>
    </row>
    <row r="97" spans="1:7" x14ac:dyDescent="0.25">
      <c r="A97" s="109"/>
      <c r="B97" s="21" t="s">
        <v>163</v>
      </c>
      <c r="C97" s="21" t="s">
        <v>172</v>
      </c>
      <c r="D97" s="21" t="s">
        <v>19</v>
      </c>
      <c r="E97" s="21" t="s">
        <v>173</v>
      </c>
      <c r="F97" s="21" t="s">
        <v>174</v>
      </c>
      <c r="G97" s="21" t="s">
        <v>175</v>
      </c>
    </row>
    <row r="98" spans="1:7" ht="112" customHeight="1" x14ac:dyDescent="0.25">
      <c r="A98" s="110"/>
      <c r="B98" s="18" t="s">
        <v>503</v>
      </c>
      <c r="C98" s="18" t="s">
        <v>506</v>
      </c>
      <c r="D98" s="18" t="s">
        <v>505</v>
      </c>
      <c r="E98" s="18" t="s">
        <v>462</v>
      </c>
      <c r="F98" s="18" t="s">
        <v>507</v>
      </c>
      <c r="G98" s="18" t="s">
        <v>508</v>
      </c>
    </row>
    <row r="99" spans="1:7" x14ac:dyDescent="0.25">
      <c r="A99" s="114" t="s">
        <v>63</v>
      </c>
      <c r="B99" s="121" t="s">
        <v>180</v>
      </c>
      <c r="C99" s="91"/>
      <c r="D99" s="91"/>
      <c r="E99" s="91"/>
      <c r="F99" s="91"/>
      <c r="G99" s="92"/>
    </row>
    <row r="100" spans="1:7" x14ac:dyDescent="0.25">
      <c r="A100" s="109"/>
      <c r="B100" s="122" t="s">
        <v>181</v>
      </c>
      <c r="C100" s="91"/>
      <c r="D100" s="91"/>
      <c r="E100" s="91"/>
      <c r="F100" s="91"/>
      <c r="G100" s="92"/>
    </row>
    <row r="101" spans="1:7" x14ac:dyDescent="0.25">
      <c r="A101" s="109"/>
      <c r="B101" s="64" t="s">
        <v>163</v>
      </c>
      <c r="C101" s="122" t="s">
        <v>164</v>
      </c>
      <c r="D101" s="91"/>
      <c r="E101" s="92"/>
      <c r="F101" s="34" t="s">
        <v>165</v>
      </c>
      <c r="G101" s="34" t="s">
        <v>166</v>
      </c>
    </row>
    <row r="102" spans="1:7" ht="56" customHeight="1" x14ac:dyDescent="0.25">
      <c r="A102" s="109"/>
      <c r="B102" s="20" t="s">
        <v>509</v>
      </c>
      <c r="C102" s="123" t="s">
        <v>510</v>
      </c>
      <c r="D102" s="91"/>
      <c r="E102" s="92"/>
      <c r="F102" s="17" t="s">
        <v>511</v>
      </c>
      <c r="G102" s="15" t="s">
        <v>505</v>
      </c>
    </row>
    <row r="103" spans="1:7" x14ac:dyDescent="0.25">
      <c r="A103" s="109"/>
      <c r="B103" s="124" t="s">
        <v>183</v>
      </c>
      <c r="C103" s="91"/>
      <c r="D103" s="91"/>
      <c r="E103" s="91"/>
      <c r="F103" s="91"/>
      <c r="G103" s="92"/>
    </row>
    <row r="104" spans="1:7" x14ac:dyDescent="0.25">
      <c r="A104" s="109"/>
      <c r="B104" s="21" t="s">
        <v>163</v>
      </c>
      <c r="C104" s="21" t="s">
        <v>172</v>
      </c>
      <c r="D104" s="21" t="s">
        <v>19</v>
      </c>
      <c r="E104" s="21" t="s">
        <v>173</v>
      </c>
      <c r="F104" s="21" t="s">
        <v>174</v>
      </c>
      <c r="G104" s="21" t="s">
        <v>175</v>
      </c>
    </row>
    <row r="105" spans="1:7" ht="196" customHeight="1" x14ac:dyDescent="0.25">
      <c r="A105" s="110"/>
      <c r="B105" s="18" t="s">
        <v>509</v>
      </c>
      <c r="C105" s="18" t="s">
        <v>506</v>
      </c>
      <c r="D105" s="18" t="s">
        <v>512</v>
      </c>
      <c r="E105" s="18" t="s">
        <v>462</v>
      </c>
      <c r="F105" s="18" t="s">
        <v>513</v>
      </c>
      <c r="G105" s="18" t="s">
        <v>514</v>
      </c>
    </row>
    <row r="106" spans="1:7" x14ac:dyDescent="0.25">
      <c r="A106" s="114" t="s">
        <v>515</v>
      </c>
      <c r="B106" s="121" t="s">
        <v>180</v>
      </c>
      <c r="C106" s="91"/>
      <c r="D106" s="91"/>
      <c r="E106" s="91"/>
      <c r="F106" s="91"/>
      <c r="G106" s="92"/>
    </row>
    <row r="107" spans="1:7" x14ac:dyDescent="0.25">
      <c r="A107" s="109"/>
      <c r="B107" s="122" t="s">
        <v>181</v>
      </c>
      <c r="C107" s="91"/>
      <c r="D107" s="91"/>
      <c r="E107" s="91"/>
      <c r="F107" s="91"/>
      <c r="G107" s="92"/>
    </row>
    <row r="108" spans="1:7" x14ac:dyDescent="0.25">
      <c r="A108" s="109"/>
      <c r="B108" s="64" t="s">
        <v>163</v>
      </c>
      <c r="C108" s="122" t="s">
        <v>164</v>
      </c>
      <c r="D108" s="91"/>
      <c r="E108" s="92"/>
      <c r="F108" s="34" t="s">
        <v>165</v>
      </c>
      <c r="G108" s="34" t="s">
        <v>166</v>
      </c>
    </row>
    <row r="109" spans="1:7" ht="42" customHeight="1" x14ac:dyDescent="0.25">
      <c r="A109" s="109"/>
      <c r="B109" s="20" t="s">
        <v>516</v>
      </c>
      <c r="C109" s="123" t="s">
        <v>517</v>
      </c>
      <c r="D109" s="91"/>
      <c r="E109" s="92"/>
      <c r="F109" s="17" t="s">
        <v>518</v>
      </c>
      <c r="G109" s="15" t="s">
        <v>519</v>
      </c>
    </row>
    <row r="110" spans="1:7" x14ac:dyDescent="0.25">
      <c r="A110" s="109"/>
      <c r="B110" s="124" t="s">
        <v>183</v>
      </c>
      <c r="C110" s="91"/>
      <c r="D110" s="91"/>
      <c r="E110" s="91"/>
      <c r="F110" s="91"/>
      <c r="G110" s="92"/>
    </row>
    <row r="111" spans="1:7" x14ac:dyDescent="0.25">
      <c r="A111" s="109"/>
      <c r="B111" s="21" t="s">
        <v>163</v>
      </c>
      <c r="C111" s="21" t="s">
        <v>172</v>
      </c>
      <c r="D111" s="21" t="s">
        <v>19</v>
      </c>
      <c r="E111" s="21" t="s">
        <v>173</v>
      </c>
      <c r="F111" s="21" t="s">
        <v>174</v>
      </c>
      <c r="G111" s="21" t="s">
        <v>175</v>
      </c>
    </row>
    <row r="112" spans="1:7" ht="98" customHeight="1" x14ac:dyDescent="0.25">
      <c r="A112" s="110"/>
      <c r="B112" s="18" t="s">
        <v>516</v>
      </c>
      <c r="C112" s="18" t="s">
        <v>520</v>
      </c>
      <c r="D112" s="18" t="s">
        <v>521</v>
      </c>
      <c r="E112" s="18" t="s">
        <v>462</v>
      </c>
      <c r="F112" s="18" t="s">
        <v>522</v>
      </c>
      <c r="G112" s="18" t="s">
        <v>523</v>
      </c>
    </row>
    <row r="113" spans="1:7" x14ac:dyDescent="0.25">
      <c r="A113" s="114" t="s">
        <v>67</v>
      </c>
      <c r="B113" s="121" t="s">
        <v>180</v>
      </c>
      <c r="C113" s="91"/>
      <c r="D113" s="91"/>
      <c r="E113" s="91"/>
      <c r="F113" s="91"/>
      <c r="G113" s="92"/>
    </row>
    <row r="114" spans="1:7" x14ac:dyDescent="0.25">
      <c r="A114" s="109"/>
      <c r="B114" s="122" t="s">
        <v>181</v>
      </c>
      <c r="C114" s="91"/>
      <c r="D114" s="91"/>
      <c r="E114" s="91"/>
      <c r="F114" s="91"/>
      <c r="G114" s="92"/>
    </row>
    <row r="115" spans="1:7" x14ac:dyDescent="0.25">
      <c r="A115" s="109"/>
      <c r="B115" s="64" t="s">
        <v>163</v>
      </c>
      <c r="C115" s="122" t="s">
        <v>164</v>
      </c>
      <c r="D115" s="91"/>
      <c r="E115" s="92"/>
      <c r="F115" s="34" t="s">
        <v>165</v>
      </c>
      <c r="G115" s="34" t="s">
        <v>166</v>
      </c>
    </row>
    <row r="116" spans="1:7" x14ac:dyDescent="0.25">
      <c r="A116" s="109"/>
      <c r="B116" s="20" t="s">
        <v>524</v>
      </c>
      <c r="C116" s="123" t="s">
        <v>525</v>
      </c>
      <c r="D116" s="91"/>
      <c r="E116" s="92"/>
      <c r="F116" s="17"/>
      <c r="G116" s="15" t="s">
        <v>526</v>
      </c>
    </row>
    <row r="117" spans="1:7" x14ac:dyDescent="0.25">
      <c r="A117" s="109"/>
      <c r="B117" s="124" t="s">
        <v>183</v>
      </c>
      <c r="C117" s="91"/>
      <c r="D117" s="91"/>
      <c r="E117" s="91"/>
      <c r="F117" s="91"/>
      <c r="G117" s="92"/>
    </row>
    <row r="118" spans="1:7" x14ac:dyDescent="0.25">
      <c r="A118" s="109"/>
      <c r="B118" s="21" t="s">
        <v>163</v>
      </c>
      <c r="C118" s="21" t="s">
        <v>172</v>
      </c>
      <c r="D118" s="21" t="s">
        <v>19</v>
      </c>
      <c r="E118" s="21" t="s">
        <v>173</v>
      </c>
      <c r="F118" s="21" t="s">
        <v>174</v>
      </c>
      <c r="G118" s="21" t="s">
        <v>175</v>
      </c>
    </row>
    <row r="119" spans="1:7" ht="70" customHeight="1" x14ac:dyDescent="0.25">
      <c r="A119" s="110"/>
      <c r="B119" s="18" t="s">
        <v>524</v>
      </c>
      <c r="C119" s="18" t="s">
        <v>527</v>
      </c>
      <c r="D119" s="18" t="s">
        <v>526</v>
      </c>
      <c r="E119" s="18" t="s">
        <v>462</v>
      </c>
      <c r="F119" s="18" t="s">
        <v>528</v>
      </c>
      <c r="G119" s="18" t="s">
        <v>529</v>
      </c>
    </row>
    <row r="120" spans="1:7" x14ac:dyDescent="0.25">
      <c r="A120" s="114" t="s">
        <v>69</v>
      </c>
      <c r="B120" s="121" t="s">
        <v>180</v>
      </c>
      <c r="C120" s="91"/>
      <c r="D120" s="91"/>
      <c r="E120" s="91"/>
      <c r="F120" s="91"/>
      <c r="G120" s="92"/>
    </row>
    <row r="121" spans="1:7" x14ac:dyDescent="0.25">
      <c r="A121" s="109"/>
      <c r="B121" s="122" t="s">
        <v>181</v>
      </c>
      <c r="C121" s="91"/>
      <c r="D121" s="91"/>
      <c r="E121" s="91"/>
      <c r="F121" s="91"/>
      <c r="G121" s="92"/>
    </row>
    <row r="122" spans="1:7" x14ac:dyDescent="0.25">
      <c r="A122" s="109"/>
      <c r="B122" s="64" t="s">
        <v>163</v>
      </c>
      <c r="C122" s="122" t="s">
        <v>164</v>
      </c>
      <c r="D122" s="91"/>
      <c r="E122" s="92"/>
      <c r="F122" s="34" t="s">
        <v>165</v>
      </c>
      <c r="G122" s="34" t="s">
        <v>166</v>
      </c>
    </row>
    <row r="123" spans="1:7" x14ac:dyDescent="0.25">
      <c r="A123" s="109"/>
      <c r="B123" s="20" t="s">
        <v>530</v>
      </c>
      <c r="C123" s="123" t="s">
        <v>531</v>
      </c>
      <c r="D123" s="91"/>
      <c r="E123" s="92"/>
      <c r="F123" s="17"/>
      <c r="G123" s="15" t="s">
        <v>532</v>
      </c>
    </row>
    <row r="124" spans="1:7" x14ac:dyDescent="0.25">
      <c r="A124" s="109"/>
      <c r="B124" s="124" t="s">
        <v>183</v>
      </c>
      <c r="C124" s="91"/>
      <c r="D124" s="91"/>
      <c r="E124" s="91"/>
      <c r="F124" s="91"/>
      <c r="G124" s="92"/>
    </row>
    <row r="125" spans="1:7" x14ac:dyDescent="0.25">
      <c r="A125" s="109"/>
      <c r="B125" s="21" t="s">
        <v>163</v>
      </c>
      <c r="C125" s="21" t="s">
        <v>172</v>
      </c>
      <c r="D125" s="21" t="s">
        <v>19</v>
      </c>
      <c r="E125" s="21" t="s">
        <v>173</v>
      </c>
      <c r="F125" s="21" t="s">
        <v>174</v>
      </c>
      <c r="G125" s="21" t="s">
        <v>175</v>
      </c>
    </row>
    <row r="126" spans="1:7" ht="84" customHeight="1" x14ac:dyDescent="0.25">
      <c r="A126" s="110"/>
      <c r="B126" s="18" t="s">
        <v>533</v>
      </c>
      <c r="C126" s="18" t="s">
        <v>534</v>
      </c>
      <c r="D126" s="18" t="s">
        <v>532</v>
      </c>
      <c r="E126" s="18" t="s">
        <v>462</v>
      </c>
      <c r="F126" s="18" t="s">
        <v>535</v>
      </c>
      <c r="G126" s="18" t="s">
        <v>536</v>
      </c>
    </row>
    <row r="127" spans="1:7" x14ac:dyDescent="0.25">
      <c r="A127" s="126" t="s">
        <v>71</v>
      </c>
      <c r="B127" s="115" t="s">
        <v>180</v>
      </c>
      <c r="C127" s="83"/>
      <c r="D127" s="83"/>
      <c r="E127" s="83"/>
      <c r="F127" s="83"/>
      <c r="G127" s="84"/>
    </row>
    <row r="128" spans="1:7" x14ac:dyDescent="0.25">
      <c r="A128" s="97"/>
      <c r="B128" s="116" t="s">
        <v>181</v>
      </c>
      <c r="C128" s="83"/>
      <c r="D128" s="83"/>
      <c r="E128" s="83"/>
      <c r="F128" s="83"/>
      <c r="G128" s="84"/>
    </row>
    <row r="129" spans="1:7" x14ac:dyDescent="0.25">
      <c r="A129" s="97"/>
      <c r="B129" s="65" t="s">
        <v>163</v>
      </c>
      <c r="C129" s="116" t="s">
        <v>164</v>
      </c>
      <c r="D129" s="83"/>
      <c r="E129" s="84"/>
      <c r="F129" s="39" t="s">
        <v>165</v>
      </c>
      <c r="G129" s="39" t="s">
        <v>166</v>
      </c>
    </row>
    <row r="130" spans="1:7" x14ac:dyDescent="0.25">
      <c r="A130" s="97"/>
      <c r="B130" s="43" t="s">
        <v>537</v>
      </c>
      <c r="C130" s="118" t="s">
        <v>538</v>
      </c>
      <c r="D130" s="83"/>
      <c r="E130" s="84"/>
      <c r="F130" s="44" t="s">
        <v>539</v>
      </c>
      <c r="G130" s="36" t="s">
        <v>540</v>
      </c>
    </row>
    <row r="131" spans="1:7" x14ac:dyDescent="0.25">
      <c r="A131" s="97"/>
      <c r="B131" s="119" t="s">
        <v>183</v>
      </c>
      <c r="C131" s="83"/>
      <c r="D131" s="83"/>
      <c r="E131" s="83"/>
      <c r="F131" s="83"/>
      <c r="G131" s="84"/>
    </row>
    <row r="132" spans="1:7" x14ac:dyDescent="0.25">
      <c r="A132" s="97"/>
      <c r="B132" s="38" t="s">
        <v>163</v>
      </c>
      <c r="C132" s="38" t="s">
        <v>172</v>
      </c>
      <c r="D132" s="38" t="s">
        <v>19</v>
      </c>
      <c r="E132" s="38" t="s">
        <v>173</v>
      </c>
      <c r="F132" s="38" t="s">
        <v>174</v>
      </c>
      <c r="G132" s="38" t="s">
        <v>175</v>
      </c>
    </row>
    <row r="133" spans="1:7" ht="154" customHeight="1" x14ac:dyDescent="0.25">
      <c r="A133" s="98"/>
      <c r="B133" s="40" t="s">
        <v>537</v>
      </c>
      <c r="C133" s="40" t="s">
        <v>541</v>
      </c>
      <c r="D133" s="40" t="s">
        <v>542</v>
      </c>
      <c r="E133" s="40" t="s">
        <v>462</v>
      </c>
      <c r="F133" s="40" t="s">
        <v>543</v>
      </c>
      <c r="G133" s="40" t="s">
        <v>544</v>
      </c>
    </row>
    <row r="134" spans="1:7" x14ac:dyDescent="0.25">
      <c r="A134" s="114" t="s">
        <v>37</v>
      </c>
      <c r="B134" s="121" t="s">
        <v>180</v>
      </c>
      <c r="C134" s="91"/>
      <c r="D134" s="91"/>
      <c r="E134" s="91"/>
      <c r="F134" s="91"/>
      <c r="G134" s="92"/>
    </row>
    <row r="135" spans="1:7" x14ac:dyDescent="0.25">
      <c r="A135" s="109"/>
      <c r="B135" s="122" t="s">
        <v>181</v>
      </c>
      <c r="C135" s="91"/>
      <c r="D135" s="91"/>
      <c r="E135" s="91"/>
      <c r="F135" s="91"/>
      <c r="G135" s="92"/>
    </row>
    <row r="136" spans="1:7" x14ac:dyDescent="0.25">
      <c r="A136" s="109"/>
      <c r="B136" s="64" t="s">
        <v>163</v>
      </c>
      <c r="C136" s="122" t="s">
        <v>164</v>
      </c>
      <c r="D136" s="91"/>
      <c r="E136" s="92"/>
      <c r="F136" s="34" t="s">
        <v>165</v>
      </c>
      <c r="G136" s="34" t="s">
        <v>166</v>
      </c>
    </row>
    <row r="137" spans="1:7" x14ac:dyDescent="0.25">
      <c r="A137" s="109"/>
      <c r="B137" s="20" t="s">
        <v>545</v>
      </c>
      <c r="C137" s="123" t="s">
        <v>546</v>
      </c>
      <c r="D137" s="91"/>
      <c r="E137" s="92"/>
      <c r="F137" s="17"/>
      <c r="G137" s="15" t="s">
        <v>378</v>
      </c>
    </row>
    <row r="138" spans="1:7" x14ac:dyDescent="0.25">
      <c r="A138" s="109"/>
      <c r="B138" s="124" t="s">
        <v>183</v>
      </c>
      <c r="C138" s="91"/>
      <c r="D138" s="91"/>
      <c r="E138" s="91"/>
      <c r="F138" s="91"/>
      <c r="G138" s="92"/>
    </row>
    <row r="139" spans="1:7" x14ac:dyDescent="0.25">
      <c r="A139" s="109"/>
      <c r="B139" s="21" t="s">
        <v>163</v>
      </c>
      <c r="C139" s="21" t="s">
        <v>172</v>
      </c>
      <c r="D139" s="21" t="s">
        <v>19</v>
      </c>
      <c r="E139" s="21" t="s">
        <v>173</v>
      </c>
      <c r="F139" s="21" t="s">
        <v>174</v>
      </c>
      <c r="G139" s="21" t="s">
        <v>175</v>
      </c>
    </row>
    <row r="140" spans="1:7" ht="182" customHeight="1" x14ac:dyDescent="0.25">
      <c r="A140" s="110"/>
      <c r="B140" s="40" t="s">
        <v>547</v>
      </c>
      <c r="C140" s="40" t="s">
        <v>546</v>
      </c>
      <c r="D140" s="40" t="s">
        <v>378</v>
      </c>
      <c r="E140" s="40" t="s">
        <v>462</v>
      </c>
      <c r="F140" s="40" t="s">
        <v>548</v>
      </c>
      <c r="G140" s="40" t="s">
        <v>549</v>
      </c>
    </row>
  </sheetData>
  <mergeCells count="109">
    <mergeCell ref="B93:G93"/>
    <mergeCell ref="A92:A98"/>
    <mergeCell ref="B92:G92"/>
    <mergeCell ref="C94:E94"/>
    <mergeCell ref="C95:E95"/>
    <mergeCell ref="B96:G96"/>
    <mergeCell ref="B77:G77"/>
    <mergeCell ref="B69:G69"/>
    <mergeCell ref="B65:G65"/>
    <mergeCell ref="B81:G81"/>
    <mergeCell ref="B86:G86"/>
    <mergeCell ref="A77:A84"/>
    <mergeCell ref="B78:G78"/>
    <mergeCell ref="C79:E79"/>
    <mergeCell ref="C80:E80"/>
    <mergeCell ref="A85:A91"/>
    <mergeCell ref="B85:G85"/>
    <mergeCell ref="C87:E87"/>
    <mergeCell ref="C88:E88"/>
    <mergeCell ref="B89:G89"/>
    <mergeCell ref="A43:A67"/>
    <mergeCell ref="B43:G43"/>
    <mergeCell ref="B44:G44"/>
    <mergeCell ref="B45:B55"/>
    <mergeCell ref="F6:G6"/>
    <mergeCell ref="F7:G7"/>
    <mergeCell ref="F8:G8"/>
    <mergeCell ref="F9:G9"/>
    <mergeCell ref="F10:G10"/>
    <mergeCell ref="A1:A13"/>
    <mergeCell ref="F1:G1"/>
    <mergeCell ref="F2:G2"/>
    <mergeCell ref="F5:G5"/>
    <mergeCell ref="F13:G13"/>
    <mergeCell ref="F11:G11"/>
    <mergeCell ref="F12:G12"/>
    <mergeCell ref="F3:G3"/>
    <mergeCell ref="F4:G4"/>
    <mergeCell ref="C17:C20"/>
    <mergeCell ref="F17:G20"/>
    <mergeCell ref="F45:G45"/>
    <mergeCell ref="C46:C49"/>
    <mergeCell ref="F46:G49"/>
    <mergeCell ref="C50:C55"/>
    <mergeCell ref="F50:G55"/>
    <mergeCell ref="B56:G56"/>
    <mergeCell ref="B57:B61"/>
    <mergeCell ref="B16:B30"/>
    <mergeCell ref="C58:C61"/>
    <mergeCell ref="A106:A112"/>
    <mergeCell ref="B106:G106"/>
    <mergeCell ref="B107:G107"/>
    <mergeCell ref="C108:E108"/>
    <mergeCell ref="C109:E109"/>
    <mergeCell ref="B110:G110"/>
    <mergeCell ref="A99:A105"/>
    <mergeCell ref="B99:G99"/>
    <mergeCell ref="B100:G100"/>
    <mergeCell ref="C101:E101"/>
    <mergeCell ref="C102:E102"/>
    <mergeCell ref="B103:G103"/>
    <mergeCell ref="A68:A76"/>
    <mergeCell ref="B68:G68"/>
    <mergeCell ref="C70:E70"/>
    <mergeCell ref="C71:E71"/>
    <mergeCell ref="B73:G73"/>
    <mergeCell ref="C72:E72"/>
    <mergeCell ref="C33:C36"/>
    <mergeCell ref="C38:E38"/>
    <mergeCell ref="C39:E39"/>
    <mergeCell ref="B40:G40"/>
    <mergeCell ref="B62:G62"/>
    <mergeCell ref="B37:G37"/>
    <mergeCell ref="C64:E64"/>
    <mergeCell ref="A14:A42"/>
    <mergeCell ref="B14:G14"/>
    <mergeCell ref="B15:G15"/>
    <mergeCell ref="F16:G16"/>
    <mergeCell ref="C21:C26"/>
    <mergeCell ref="F21:G26"/>
    <mergeCell ref="B31:G31"/>
    <mergeCell ref="B32:B36"/>
    <mergeCell ref="C27:C30"/>
    <mergeCell ref="F27:G30"/>
    <mergeCell ref="C63:E63"/>
    <mergeCell ref="A120:A126"/>
    <mergeCell ref="B120:G120"/>
    <mergeCell ref="B121:G121"/>
    <mergeCell ref="C122:E122"/>
    <mergeCell ref="C123:E123"/>
    <mergeCell ref="B124:G124"/>
    <mergeCell ref="A113:A119"/>
    <mergeCell ref="B113:G113"/>
    <mergeCell ref="B114:G114"/>
    <mergeCell ref="C115:E115"/>
    <mergeCell ref="C116:E116"/>
    <mergeCell ref="B117:G117"/>
    <mergeCell ref="A134:A140"/>
    <mergeCell ref="B134:G134"/>
    <mergeCell ref="B135:G135"/>
    <mergeCell ref="C136:E136"/>
    <mergeCell ref="C137:E137"/>
    <mergeCell ref="B138:G138"/>
    <mergeCell ref="A127:A133"/>
    <mergeCell ref="B127:G127"/>
    <mergeCell ref="B128:G128"/>
    <mergeCell ref="C129:E129"/>
    <mergeCell ref="C130:E130"/>
    <mergeCell ref="B131:G131"/>
  </mergeCells>
  <phoneticPr fontId="1" type="noConversion"/>
  <dataValidations count="1">
    <dataValidation type="list" allowBlank="1" showInputMessage="1" showErrorMessage="1" sqref="C2:C13">
      <formula1>"流程图,状态机,等价类划分&amp;数据组合,直接分析"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3"/>
  <sheetViews>
    <sheetView workbookViewId="0">
      <pane xSplit="1" ySplit="5" topLeftCell="C6" activePane="bottomRight" state="frozen"/>
      <selection pane="topRight" activeCell="B1" sqref="B1"/>
      <selection pane="bottomLeft" activeCell="A7" sqref="A7"/>
      <selection pane="bottomRight" activeCell="F33" sqref="F33"/>
    </sheetView>
  </sheetViews>
  <sheetFormatPr defaultColWidth="9" defaultRowHeight="14" x14ac:dyDescent="0.25"/>
  <cols>
    <col min="1" max="1" width="15" style="61" customWidth="1"/>
    <col min="2" max="2" width="28" style="61" bestFit="1" customWidth="1"/>
    <col min="3" max="3" width="23.453125" style="61" bestFit="1" customWidth="1"/>
    <col min="4" max="4" width="16.90625" style="61" customWidth="1"/>
    <col min="5" max="5" width="17.36328125" style="61" bestFit="1" customWidth="1"/>
    <col min="6" max="6" width="61.90625" style="61" customWidth="1"/>
    <col min="7" max="7" width="82.54296875" style="61" customWidth="1"/>
    <col min="8" max="15" width="9" style="61" customWidth="1"/>
    <col min="16" max="16384" width="9" style="61"/>
  </cols>
  <sheetData>
    <row r="1" spans="1:7" x14ac:dyDescent="0.25">
      <c r="A1" s="138" t="s">
        <v>100</v>
      </c>
      <c r="B1" s="68" t="s">
        <v>15</v>
      </c>
      <c r="C1" s="68" t="s">
        <v>16</v>
      </c>
      <c r="D1" s="68" t="s">
        <v>17</v>
      </c>
      <c r="E1" s="68" t="s">
        <v>18</v>
      </c>
      <c r="F1" s="111" t="s">
        <v>19</v>
      </c>
      <c r="G1" s="92"/>
    </row>
    <row r="2" spans="1:7" x14ac:dyDescent="0.25">
      <c r="A2" s="109"/>
      <c r="B2" s="44" t="s">
        <v>550</v>
      </c>
      <c r="C2" s="44" t="s">
        <v>31</v>
      </c>
      <c r="D2" s="44"/>
      <c r="E2" s="46">
        <v>3</v>
      </c>
      <c r="F2" s="107" t="s">
        <v>76</v>
      </c>
      <c r="G2" s="84"/>
    </row>
    <row r="3" spans="1:7" x14ac:dyDescent="0.25">
      <c r="A3" s="109"/>
      <c r="B3" s="44" t="s">
        <v>551</v>
      </c>
      <c r="C3" s="44" t="s">
        <v>31</v>
      </c>
      <c r="D3" s="44"/>
      <c r="E3" s="46">
        <v>5</v>
      </c>
      <c r="F3" s="107" t="s">
        <v>78</v>
      </c>
      <c r="G3" s="84"/>
    </row>
    <row r="4" spans="1:7" x14ac:dyDescent="0.25">
      <c r="A4" s="109"/>
      <c r="B4" s="44" t="s">
        <v>79</v>
      </c>
      <c r="C4" s="44" t="s">
        <v>31</v>
      </c>
      <c r="D4" s="44"/>
      <c r="E4" s="46">
        <v>1</v>
      </c>
      <c r="F4" s="107" t="s">
        <v>80</v>
      </c>
      <c r="G4" s="84"/>
    </row>
    <row r="5" spans="1:7" x14ac:dyDescent="0.25">
      <c r="A5" s="110"/>
      <c r="B5" s="44" t="s">
        <v>552</v>
      </c>
      <c r="C5" s="44" t="s">
        <v>31</v>
      </c>
      <c r="D5" s="44"/>
      <c r="E5" s="46">
        <v>1</v>
      </c>
      <c r="F5" s="107" t="s">
        <v>553</v>
      </c>
      <c r="G5" s="84"/>
    </row>
    <row r="6" spans="1:7" x14ac:dyDescent="0.25">
      <c r="A6" s="114" t="s">
        <v>75</v>
      </c>
      <c r="B6" s="121" t="s">
        <v>180</v>
      </c>
      <c r="C6" s="91"/>
      <c r="D6" s="91"/>
      <c r="E6" s="91"/>
      <c r="F6" s="91"/>
      <c r="G6" s="92"/>
    </row>
    <row r="7" spans="1:7" x14ac:dyDescent="0.25">
      <c r="A7" s="109"/>
      <c r="B7" s="122" t="s">
        <v>181</v>
      </c>
      <c r="C7" s="91"/>
      <c r="D7" s="91"/>
      <c r="E7" s="91"/>
      <c r="F7" s="91"/>
      <c r="G7" s="92"/>
    </row>
    <row r="8" spans="1:7" x14ac:dyDescent="0.25">
      <c r="A8" s="109"/>
      <c r="B8" s="64" t="s">
        <v>163</v>
      </c>
      <c r="C8" s="122" t="s">
        <v>164</v>
      </c>
      <c r="D8" s="91"/>
      <c r="E8" s="92"/>
      <c r="F8" s="34" t="s">
        <v>165</v>
      </c>
      <c r="G8" s="34" t="s">
        <v>166</v>
      </c>
    </row>
    <row r="9" spans="1:7" x14ac:dyDescent="0.25">
      <c r="A9" s="109"/>
      <c r="B9" s="20" t="s">
        <v>554</v>
      </c>
      <c r="C9" s="123" t="s">
        <v>555</v>
      </c>
      <c r="D9" s="91"/>
      <c r="E9" s="92"/>
      <c r="F9" s="17" t="s">
        <v>539</v>
      </c>
      <c r="G9" s="15" t="s">
        <v>556</v>
      </c>
    </row>
    <row r="10" spans="1:7" x14ac:dyDescent="0.25">
      <c r="A10" s="109"/>
      <c r="B10" s="124" t="s">
        <v>183</v>
      </c>
      <c r="C10" s="91"/>
      <c r="D10" s="91"/>
      <c r="E10" s="91"/>
      <c r="F10" s="91"/>
      <c r="G10" s="92"/>
    </row>
    <row r="11" spans="1:7" x14ac:dyDescent="0.25">
      <c r="A11" s="109"/>
      <c r="B11" s="21" t="s">
        <v>163</v>
      </c>
      <c r="C11" s="21" t="s">
        <v>172</v>
      </c>
      <c r="D11" s="21" t="s">
        <v>19</v>
      </c>
      <c r="E11" s="21" t="s">
        <v>173</v>
      </c>
      <c r="F11" s="21" t="s">
        <v>174</v>
      </c>
      <c r="G11" s="21" t="s">
        <v>175</v>
      </c>
    </row>
    <row r="12" spans="1:7" ht="294" customHeight="1" x14ac:dyDescent="0.25">
      <c r="A12" s="110"/>
      <c r="B12" s="18" t="s">
        <v>554</v>
      </c>
      <c r="C12" s="18" t="s">
        <v>557</v>
      </c>
      <c r="D12" s="18" t="s">
        <v>558</v>
      </c>
      <c r="E12" s="18" t="s">
        <v>462</v>
      </c>
      <c r="F12" s="18" t="s">
        <v>559</v>
      </c>
      <c r="G12" s="18" t="s">
        <v>560</v>
      </c>
    </row>
    <row r="13" spans="1:7" x14ac:dyDescent="0.25">
      <c r="A13" s="114" t="s">
        <v>561</v>
      </c>
      <c r="B13" s="121" t="s">
        <v>180</v>
      </c>
      <c r="C13" s="91"/>
      <c r="D13" s="91"/>
      <c r="E13" s="91"/>
      <c r="F13" s="91"/>
      <c r="G13" s="92"/>
    </row>
    <row r="14" spans="1:7" x14ac:dyDescent="0.25">
      <c r="A14" s="109"/>
      <c r="B14" s="122" t="s">
        <v>181</v>
      </c>
      <c r="C14" s="91"/>
      <c r="D14" s="91"/>
      <c r="E14" s="91"/>
      <c r="F14" s="91"/>
      <c r="G14" s="92"/>
    </row>
    <row r="15" spans="1:7" x14ac:dyDescent="0.25">
      <c r="A15" s="109"/>
      <c r="B15" s="64" t="s">
        <v>163</v>
      </c>
      <c r="C15" s="122" t="s">
        <v>164</v>
      </c>
      <c r="D15" s="91"/>
      <c r="E15" s="92"/>
      <c r="F15" s="34" t="s">
        <v>165</v>
      </c>
      <c r="G15" s="34" t="s">
        <v>166</v>
      </c>
    </row>
    <row r="16" spans="1:7" x14ac:dyDescent="0.25">
      <c r="A16" s="109"/>
      <c r="B16" s="20" t="s">
        <v>562</v>
      </c>
      <c r="C16" s="123" t="s">
        <v>563</v>
      </c>
      <c r="D16" s="91"/>
      <c r="E16" s="92"/>
      <c r="F16" s="17" t="s">
        <v>539</v>
      </c>
      <c r="G16" s="15" t="s">
        <v>564</v>
      </c>
    </row>
    <row r="17" spans="1:7" x14ac:dyDescent="0.25">
      <c r="A17" s="109"/>
      <c r="B17" s="124" t="s">
        <v>183</v>
      </c>
      <c r="C17" s="91"/>
      <c r="D17" s="91"/>
      <c r="E17" s="91"/>
      <c r="F17" s="91"/>
      <c r="G17" s="92"/>
    </row>
    <row r="18" spans="1:7" x14ac:dyDescent="0.25">
      <c r="A18" s="109"/>
      <c r="B18" s="21" t="s">
        <v>163</v>
      </c>
      <c r="C18" s="21" t="s">
        <v>172</v>
      </c>
      <c r="D18" s="21" t="s">
        <v>19</v>
      </c>
      <c r="E18" s="21" t="s">
        <v>173</v>
      </c>
      <c r="F18" s="21" t="s">
        <v>174</v>
      </c>
      <c r="G18" s="21" t="s">
        <v>175</v>
      </c>
    </row>
    <row r="19" spans="1:7" ht="56" customHeight="1" x14ac:dyDescent="0.25">
      <c r="A19" s="110"/>
      <c r="B19" s="18" t="s">
        <v>562</v>
      </c>
      <c r="C19" s="18" t="s">
        <v>563</v>
      </c>
      <c r="D19" s="18" t="s">
        <v>564</v>
      </c>
      <c r="E19" s="18" t="s">
        <v>462</v>
      </c>
      <c r="F19" s="18" t="s">
        <v>565</v>
      </c>
      <c r="G19" s="18" t="s">
        <v>560</v>
      </c>
    </row>
    <row r="20" spans="1:7" x14ac:dyDescent="0.25">
      <c r="A20" s="114" t="s">
        <v>79</v>
      </c>
      <c r="B20" s="121" t="s">
        <v>180</v>
      </c>
      <c r="C20" s="91"/>
      <c r="D20" s="91"/>
      <c r="E20" s="91"/>
      <c r="F20" s="91"/>
      <c r="G20" s="92"/>
    </row>
    <row r="21" spans="1:7" x14ac:dyDescent="0.25">
      <c r="A21" s="109"/>
      <c r="B21" s="122" t="s">
        <v>181</v>
      </c>
      <c r="C21" s="91"/>
      <c r="D21" s="91"/>
      <c r="E21" s="91"/>
      <c r="F21" s="91"/>
      <c r="G21" s="92"/>
    </row>
    <row r="22" spans="1:7" x14ac:dyDescent="0.25">
      <c r="A22" s="109"/>
      <c r="B22" s="64" t="s">
        <v>163</v>
      </c>
      <c r="C22" s="122" t="s">
        <v>164</v>
      </c>
      <c r="D22" s="91"/>
      <c r="E22" s="92"/>
      <c r="F22" s="34" t="s">
        <v>165</v>
      </c>
      <c r="G22" s="34" t="s">
        <v>166</v>
      </c>
    </row>
    <row r="23" spans="1:7" x14ac:dyDescent="0.25">
      <c r="A23" s="109"/>
      <c r="B23" s="20" t="s">
        <v>566</v>
      </c>
      <c r="C23" s="123" t="s">
        <v>567</v>
      </c>
      <c r="D23" s="91"/>
      <c r="E23" s="92"/>
      <c r="F23" s="17" t="s">
        <v>539</v>
      </c>
      <c r="G23" s="15" t="s">
        <v>568</v>
      </c>
    </row>
    <row r="24" spans="1:7" x14ac:dyDescent="0.25">
      <c r="A24" s="109"/>
      <c r="B24" s="124" t="s">
        <v>183</v>
      </c>
      <c r="C24" s="91"/>
      <c r="D24" s="91"/>
      <c r="E24" s="91"/>
      <c r="F24" s="91"/>
      <c r="G24" s="92"/>
    </row>
    <row r="25" spans="1:7" x14ac:dyDescent="0.25">
      <c r="A25" s="109"/>
      <c r="B25" s="21" t="s">
        <v>163</v>
      </c>
      <c r="C25" s="21" t="s">
        <v>172</v>
      </c>
      <c r="D25" s="21" t="s">
        <v>19</v>
      </c>
      <c r="E25" s="21" t="s">
        <v>173</v>
      </c>
      <c r="F25" s="21" t="s">
        <v>174</v>
      </c>
      <c r="G25" s="21" t="s">
        <v>175</v>
      </c>
    </row>
    <row r="26" spans="1:7" ht="84" customHeight="1" x14ac:dyDescent="0.25">
      <c r="A26" s="110"/>
      <c r="B26" s="18" t="s">
        <v>566</v>
      </c>
      <c r="C26" s="18" t="s">
        <v>567</v>
      </c>
      <c r="D26" s="18" t="s">
        <v>568</v>
      </c>
      <c r="E26" s="18" t="s">
        <v>462</v>
      </c>
      <c r="F26" s="18" t="s">
        <v>569</v>
      </c>
      <c r="G26" s="18" t="s">
        <v>570</v>
      </c>
    </row>
    <row r="27" spans="1:7" x14ac:dyDescent="0.25">
      <c r="A27" s="114" t="s">
        <v>552</v>
      </c>
      <c r="B27" s="121" t="s">
        <v>180</v>
      </c>
      <c r="C27" s="91"/>
      <c r="D27" s="91"/>
      <c r="E27" s="91"/>
      <c r="F27" s="91"/>
      <c r="G27" s="92"/>
    </row>
    <row r="28" spans="1:7" x14ac:dyDescent="0.25">
      <c r="A28" s="109"/>
      <c r="B28" s="122" t="s">
        <v>181</v>
      </c>
      <c r="C28" s="91"/>
      <c r="D28" s="91"/>
      <c r="E28" s="91"/>
      <c r="F28" s="91"/>
      <c r="G28" s="92"/>
    </row>
    <row r="29" spans="1:7" x14ac:dyDescent="0.25">
      <c r="A29" s="109"/>
      <c r="B29" s="64" t="s">
        <v>163</v>
      </c>
      <c r="C29" s="122" t="s">
        <v>164</v>
      </c>
      <c r="D29" s="91"/>
      <c r="E29" s="92"/>
      <c r="F29" s="34" t="s">
        <v>165</v>
      </c>
      <c r="G29" s="34" t="s">
        <v>166</v>
      </c>
    </row>
    <row r="30" spans="1:7" x14ac:dyDescent="0.25">
      <c r="A30" s="109"/>
      <c r="B30" s="20" t="s">
        <v>571</v>
      </c>
      <c r="C30" s="123" t="s">
        <v>572</v>
      </c>
      <c r="D30" s="91"/>
      <c r="E30" s="92"/>
      <c r="F30" s="17" t="s">
        <v>539</v>
      </c>
      <c r="G30" s="15" t="s">
        <v>573</v>
      </c>
    </row>
    <row r="31" spans="1:7" x14ac:dyDescent="0.25">
      <c r="A31" s="109"/>
      <c r="B31" s="124" t="s">
        <v>183</v>
      </c>
      <c r="C31" s="91"/>
      <c r="D31" s="91"/>
      <c r="E31" s="91"/>
      <c r="F31" s="91"/>
      <c r="G31" s="92"/>
    </row>
    <row r="32" spans="1:7" x14ac:dyDescent="0.25">
      <c r="A32" s="109"/>
      <c r="B32" s="21" t="s">
        <v>163</v>
      </c>
      <c r="C32" s="21" t="s">
        <v>172</v>
      </c>
      <c r="D32" s="21" t="s">
        <v>19</v>
      </c>
      <c r="E32" s="21" t="s">
        <v>173</v>
      </c>
      <c r="F32" s="21" t="s">
        <v>174</v>
      </c>
      <c r="G32" s="21" t="s">
        <v>175</v>
      </c>
    </row>
    <row r="33" spans="1:7" ht="70" customHeight="1" x14ac:dyDescent="0.25">
      <c r="A33" s="110"/>
      <c r="B33" s="18" t="s">
        <v>571</v>
      </c>
      <c r="C33" s="18" t="s">
        <v>572</v>
      </c>
      <c r="D33" s="18" t="s">
        <v>568</v>
      </c>
      <c r="E33" s="18" t="s">
        <v>462</v>
      </c>
      <c r="F33" s="18" t="s">
        <v>574</v>
      </c>
      <c r="G33" s="18" t="s">
        <v>570</v>
      </c>
    </row>
  </sheetData>
  <mergeCells count="30">
    <mergeCell ref="A20:A26"/>
    <mergeCell ref="B20:G20"/>
    <mergeCell ref="B21:G21"/>
    <mergeCell ref="C22:E22"/>
    <mergeCell ref="C23:E23"/>
    <mergeCell ref="B24:G24"/>
    <mergeCell ref="F1:G1"/>
    <mergeCell ref="F2:G2"/>
    <mergeCell ref="F3:G3"/>
    <mergeCell ref="A1:A5"/>
    <mergeCell ref="F5:G5"/>
    <mergeCell ref="F4:G4"/>
    <mergeCell ref="A6:A12"/>
    <mergeCell ref="B6:G6"/>
    <mergeCell ref="B7:G7"/>
    <mergeCell ref="C8:E8"/>
    <mergeCell ref="C9:E9"/>
    <mergeCell ref="B10:G10"/>
    <mergeCell ref="A13:A19"/>
    <mergeCell ref="B13:G13"/>
    <mergeCell ref="B14:G14"/>
    <mergeCell ref="C15:E15"/>
    <mergeCell ref="C16:E16"/>
    <mergeCell ref="B17:G17"/>
    <mergeCell ref="A27:A33"/>
    <mergeCell ref="B27:G27"/>
    <mergeCell ref="B28:G28"/>
    <mergeCell ref="C29:E29"/>
    <mergeCell ref="C30:E30"/>
    <mergeCell ref="B31:G31"/>
  </mergeCells>
  <phoneticPr fontId="1" type="noConversion"/>
  <dataValidations count="1">
    <dataValidation type="list" allowBlank="1" showInputMessage="1" showErrorMessage="1" sqref="C2:C5">
      <formula1>"流程图,状态机,等价类划分&amp;数据组合,直接分析"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68" sqref="B68:G68"/>
    </sheetView>
  </sheetViews>
  <sheetFormatPr defaultColWidth="9" defaultRowHeight="14" x14ac:dyDescent="0.25"/>
  <cols>
    <col min="1" max="1" width="15" style="61" customWidth="1"/>
    <col min="2" max="2" width="32.08984375" style="61" customWidth="1"/>
    <col min="3" max="3" width="23.453125" style="61" bestFit="1" customWidth="1"/>
    <col min="4" max="4" width="72.1796875" style="61" customWidth="1"/>
    <col min="5" max="5" width="17.36328125" style="61" bestFit="1" customWidth="1"/>
    <col min="6" max="6" width="61.90625" style="61" customWidth="1"/>
    <col min="7" max="7" width="82.54296875" style="61" customWidth="1"/>
    <col min="8" max="15" width="9" style="61" customWidth="1"/>
    <col min="16" max="16384" width="9" style="61"/>
  </cols>
  <sheetData>
    <row r="1" spans="1:7" x14ac:dyDescent="0.25">
      <c r="A1" s="138" t="s">
        <v>100</v>
      </c>
      <c r="B1" s="68" t="s">
        <v>15</v>
      </c>
      <c r="C1" s="68" t="s">
        <v>16</v>
      </c>
      <c r="D1" s="68" t="s">
        <v>17</v>
      </c>
      <c r="E1" s="68" t="s">
        <v>18</v>
      </c>
      <c r="F1" s="111" t="s">
        <v>19</v>
      </c>
      <c r="G1" s="92"/>
    </row>
    <row r="2" spans="1:7" x14ac:dyDescent="0.25">
      <c r="A2" s="109"/>
      <c r="B2" s="44" t="s">
        <v>82</v>
      </c>
      <c r="C2" s="44" t="s">
        <v>25</v>
      </c>
      <c r="D2" s="44"/>
      <c r="E2" s="46">
        <v>5</v>
      </c>
      <c r="F2" s="107" t="s">
        <v>83</v>
      </c>
      <c r="G2" s="84"/>
    </row>
    <row r="3" spans="1:7" x14ac:dyDescent="0.25">
      <c r="A3" s="109"/>
      <c r="B3" s="44" t="s">
        <v>575</v>
      </c>
      <c r="C3" s="44" t="s">
        <v>31</v>
      </c>
      <c r="D3" s="44"/>
      <c r="E3" s="46">
        <v>1</v>
      </c>
      <c r="F3" s="107" t="s">
        <v>576</v>
      </c>
      <c r="G3" s="84"/>
    </row>
    <row r="4" spans="1:7" x14ac:dyDescent="0.25">
      <c r="A4" s="109"/>
      <c r="B4" s="44" t="s">
        <v>84</v>
      </c>
      <c r="C4" s="44" t="s">
        <v>25</v>
      </c>
      <c r="D4" s="44"/>
      <c r="E4" s="46">
        <v>3</v>
      </c>
      <c r="F4" s="107" t="s">
        <v>577</v>
      </c>
      <c r="G4" s="84"/>
    </row>
    <row r="5" spans="1:7" x14ac:dyDescent="0.25">
      <c r="A5" s="109"/>
      <c r="B5" s="44" t="s">
        <v>86</v>
      </c>
      <c r="C5" s="44" t="s">
        <v>31</v>
      </c>
      <c r="D5" s="44"/>
      <c r="E5" s="46">
        <v>4</v>
      </c>
      <c r="F5" s="107" t="s">
        <v>578</v>
      </c>
      <c r="G5" s="84"/>
    </row>
    <row r="6" spans="1:7" x14ac:dyDescent="0.25">
      <c r="A6" s="109"/>
      <c r="B6" s="44" t="s">
        <v>579</v>
      </c>
      <c r="C6" s="44" t="s">
        <v>31</v>
      </c>
      <c r="D6" s="44"/>
      <c r="E6" s="46">
        <v>4</v>
      </c>
      <c r="F6" s="107" t="s">
        <v>89</v>
      </c>
      <c r="G6" s="84"/>
    </row>
    <row r="7" spans="1:7" x14ac:dyDescent="0.25">
      <c r="A7" s="109"/>
      <c r="B7" s="44" t="s">
        <v>90</v>
      </c>
      <c r="C7" s="44" t="s">
        <v>31</v>
      </c>
      <c r="D7" s="44"/>
      <c r="E7" s="46">
        <v>4</v>
      </c>
      <c r="F7" s="107" t="s">
        <v>91</v>
      </c>
      <c r="G7" s="84"/>
    </row>
    <row r="8" spans="1:7" x14ac:dyDescent="0.25">
      <c r="A8" s="110"/>
      <c r="B8" s="44" t="s">
        <v>92</v>
      </c>
      <c r="C8" s="44" t="s">
        <v>31</v>
      </c>
      <c r="D8" s="44"/>
      <c r="E8" s="46">
        <v>1</v>
      </c>
      <c r="F8" s="107" t="s">
        <v>93</v>
      </c>
      <c r="G8" s="84"/>
    </row>
    <row r="9" spans="1:7" x14ac:dyDescent="0.25">
      <c r="A9" s="129" t="s">
        <v>82</v>
      </c>
      <c r="B9" s="115" t="s">
        <v>109</v>
      </c>
      <c r="C9" s="83"/>
      <c r="D9" s="83"/>
      <c r="E9" s="83"/>
      <c r="F9" s="83"/>
      <c r="G9" s="84"/>
    </row>
    <row r="10" spans="1:7" x14ac:dyDescent="0.25">
      <c r="A10" s="109"/>
      <c r="B10" s="116" t="s">
        <v>110</v>
      </c>
      <c r="C10" s="83"/>
      <c r="D10" s="83"/>
      <c r="E10" s="83"/>
      <c r="F10" s="83"/>
      <c r="G10" s="84"/>
    </row>
    <row r="11" spans="1:7" x14ac:dyDescent="0.25">
      <c r="A11" s="109"/>
      <c r="B11" s="142" t="s">
        <v>111</v>
      </c>
      <c r="C11" s="38" t="s">
        <v>19</v>
      </c>
      <c r="D11" s="38" t="s">
        <v>112</v>
      </c>
      <c r="E11" s="38" t="s">
        <v>113</v>
      </c>
      <c r="F11" s="127"/>
      <c r="G11" s="84"/>
    </row>
    <row r="12" spans="1:7" x14ac:dyDescent="0.25">
      <c r="A12" s="109"/>
      <c r="B12" s="109"/>
      <c r="C12" s="129" t="s">
        <v>580</v>
      </c>
      <c r="D12" s="63" t="s">
        <v>581</v>
      </c>
      <c r="E12" s="63"/>
      <c r="F12" s="143" t="s">
        <v>582</v>
      </c>
      <c r="G12" s="133"/>
    </row>
    <row r="13" spans="1:7" x14ac:dyDescent="0.25">
      <c r="A13" s="109"/>
      <c r="B13" s="109"/>
      <c r="C13" s="109"/>
      <c r="D13" s="63" t="s">
        <v>23</v>
      </c>
      <c r="E13" s="63"/>
      <c r="F13" s="134"/>
      <c r="G13" s="135"/>
    </row>
    <row r="14" spans="1:7" x14ac:dyDescent="0.25">
      <c r="A14" s="109"/>
      <c r="B14" s="109"/>
      <c r="C14" s="114" t="s">
        <v>450</v>
      </c>
      <c r="D14" s="63" t="s">
        <v>292</v>
      </c>
      <c r="E14" s="63"/>
      <c r="F14" s="132" t="s">
        <v>406</v>
      </c>
      <c r="G14" s="133"/>
    </row>
    <row r="15" spans="1:7" x14ac:dyDescent="0.25">
      <c r="A15" s="109"/>
      <c r="B15" s="109"/>
      <c r="C15" s="109"/>
      <c r="D15" s="63" t="s">
        <v>407</v>
      </c>
      <c r="E15" s="63"/>
      <c r="F15" s="134"/>
      <c r="G15" s="135"/>
    </row>
    <row r="16" spans="1:7" x14ac:dyDescent="0.25">
      <c r="A16" s="109"/>
      <c r="B16" s="109"/>
      <c r="C16" s="109"/>
      <c r="D16" s="63" t="s">
        <v>295</v>
      </c>
      <c r="E16" s="63"/>
      <c r="F16" s="134"/>
      <c r="G16" s="135"/>
    </row>
    <row r="17" spans="1:7" x14ac:dyDescent="0.25">
      <c r="A17" s="109"/>
      <c r="B17" s="109"/>
      <c r="C17" s="109"/>
      <c r="D17" s="63" t="s">
        <v>296</v>
      </c>
      <c r="E17" s="63"/>
      <c r="F17" s="134"/>
      <c r="G17" s="135"/>
    </row>
    <row r="18" spans="1:7" x14ac:dyDescent="0.25">
      <c r="A18" s="109"/>
      <c r="B18" s="109"/>
      <c r="C18" s="109"/>
      <c r="D18" s="37" t="s">
        <v>297</v>
      </c>
      <c r="E18" s="63"/>
      <c r="F18" s="134"/>
      <c r="G18" s="135"/>
    </row>
    <row r="19" spans="1:7" x14ac:dyDescent="0.25">
      <c r="A19" s="109"/>
      <c r="B19" s="109"/>
      <c r="C19" s="110"/>
      <c r="D19" s="37" t="s">
        <v>408</v>
      </c>
      <c r="E19" s="63"/>
      <c r="F19" s="136"/>
      <c r="G19" s="137"/>
    </row>
    <row r="20" spans="1:7" x14ac:dyDescent="0.25">
      <c r="A20" s="109"/>
      <c r="B20" s="116" t="s">
        <v>155</v>
      </c>
      <c r="C20" s="83"/>
      <c r="D20" s="83"/>
      <c r="E20" s="83"/>
      <c r="F20" s="83"/>
      <c r="G20" s="84"/>
    </row>
    <row r="21" spans="1:7" x14ac:dyDescent="0.25">
      <c r="A21" s="109"/>
      <c r="B21" s="117" t="s">
        <v>156</v>
      </c>
      <c r="C21" s="38" t="s">
        <v>19</v>
      </c>
      <c r="D21" s="38" t="s">
        <v>157</v>
      </c>
      <c r="E21" s="38" t="s">
        <v>158</v>
      </c>
      <c r="F21" s="38" t="s">
        <v>159</v>
      </c>
      <c r="G21" s="38" t="s">
        <v>160</v>
      </c>
    </row>
    <row r="22" spans="1:7" x14ac:dyDescent="0.25">
      <c r="A22" s="109"/>
      <c r="B22" s="97"/>
      <c r="C22" s="129" t="s">
        <v>580</v>
      </c>
      <c r="D22" s="63" t="s">
        <v>581</v>
      </c>
      <c r="E22" s="63" t="s">
        <v>450</v>
      </c>
      <c r="F22" s="63" t="s">
        <v>428</v>
      </c>
      <c r="G22" s="63" t="s">
        <v>583</v>
      </c>
    </row>
    <row r="23" spans="1:7" x14ac:dyDescent="0.25">
      <c r="A23" s="109"/>
      <c r="B23" s="98"/>
      <c r="C23" s="109"/>
      <c r="D23" s="63" t="s">
        <v>23</v>
      </c>
      <c r="E23" s="63" t="s">
        <v>450</v>
      </c>
      <c r="F23" s="63" t="s">
        <v>428</v>
      </c>
      <c r="G23" s="63" t="s">
        <v>584</v>
      </c>
    </row>
    <row r="24" spans="1:7" x14ac:dyDescent="0.25">
      <c r="A24" s="109"/>
      <c r="B24" s="116" t="s">
        <v>162</v>
      </c>
      <c r="C24" s="83"/>
      <c r="D24" s="83"/>
      <c r="E24" s="83"/>
      <c r="F24" s="83"/>
      <c r="G24" s="84"/>
    </row>
    <row r="25" spans="1:7" x14ac:dyDescent="0.25">
      <c r="A25" s="109"/>
      <c r="B25" s="65" t="s">
        <v>163</v>
      </c>
      <c r="C25" s="116" t="s">
        <v>164</v>
      </c>
      <c r="D25" s="83"/>
      <c r="E25" s="84"/>
      <c r="F25" s="39" t="s">
        <v>165</v>
      </c>
      <c r="G25" s="39" t="s">
        <v>166</v>
      </c>
    </row>
    <row r="26" spans="1:7" ht="28" customHeight="1" x14ac:dyDescent="0.25">
      <c r="A26" s="109"/>
      <c r="B26" s="43" t="s">
        <v>585</v>
      </c>
      <c r="C26" s="128" t="s">
        <v>586</v>
      </c>
      <c r="D26" s="83"/>
      <c r="E26" s="84"/>
      <c r="F26" s="44" t="s">
        <v>419</v>
      </c>
      <c r="G26" s="36" t="s">
        <v>587</v>
      </c>
    </row>
    <row r="27" spans="1:7" x14ac:dyDescent="0.25">
      <c r="A27" s="109"/>
      <c r="B27" s="119" t="s">
        <v>171</v>
      </c>
      <c r="C27" s="83"/>
      <c r="D27" s="83"/>
      <c r="E27" s="83"/>
      <c r="F27" s="83"/>
      <c r="G27" s="84"/>
    </row>
    <row r="28" spans="1:7" x14ac:dyDescent="0.25">
      <c r="A28" s="109"/>
      <c r="B28" s="38" t="s">
        <v>163</v>
      </c>
      <c r="C28" s="38" t="s">
        <v>172</v>
      </c>
      <c r="D28" s="38" t="s">
        <v>19</v>
      </c>
      <c r="E28" s="38" t="s">
        <v>173</v>
      </c>
      <c r="F28" s="38" t="s">
        <v>174</v>
      </c>
      <c r="G28" s="38" t="s">
        <v>175</v>
      </c>
    </row>
    <row r="29" spans="1:7" ht="98" customHeight="1" x14ac:dyDescent="0.25">
      <c r="A29" s="109"/>
      <c r="B29" s="40" t="s">
        <v>585</v>
      </c>
      <c r="C29" s="40" t="s">
        <v>588</v>
      </c>
      <c r="D29" s="40" t="s">
        <v>587</v>
      </c>
      <c r="E29" s="40" t="s">
        <v>177</v>
      </c>
      <c r="F29" s="40" t="s">
        <v>589</v>
      </c>
      <c r="G29" s="40" t="s">
        <v>590</v>
      </c>
    </row>
    <row r="30" spans="1:7" x14ac:dyDescent="0.25">
      <c r="A30" s="114" t="s">
        <v>575</v>
      </c>
      <c r="B30" s="121" t="s">
        <v>180</v>
      </c>
      <c r="C30" s="91"/>
      <c r="D30" s="91"/>
      <c r="E30" s="91"/>
      <c r="F30" s="91"/>
      <c r="G30" s="92"/>
    </row>
    <row r="31" spans="1:7" x14ac:dyDescent="0.25">
      <c r="A31" s="109"/>
      <c r="B31" s="122" t="s">
        <v>181</v>
      </c>
      <c r="C31" s="91"/>
      <c r="D31" s="91"/>
      <c r="E31" s="91"/>
      <c r="F31" s="91"/>
      <c r="G31" s="92"/>
    </row>
    <row r="32" spans="1:7" x14ac:dyDescent="0.25">
      <c r="A32" s="109"/>
      <c r="B32" s="64" t="s">
        <v>163</v>
      </c>
      <c r="C32" s="122" t="s">
        <v>164</v>
      </c>
      <c r="D32" s="91"/>
      <c r="E32" s="92"/>
      <c r="F32" s="34" t="s">
        <v>165</v>
      </c>
      <c r="G32" s="34" t="s">
        <v>166</v>
      </c>
    </row>
    <row r="33" spans="1:7" x14ac:dyDescent="0.25">
      <c r="A33" s="109"/>
      <c r="B33" s="20" t="s">
        <v>591</v>
      </c>
      <c r="C33" s="123" t="s">
        <v>592</v>
      </c>
      <c r="D33" s="91"/>
      <c r="E33" s="92"/>
      <c r="F33" s="17" t="s">
        <v>539</v>
      </c>
      <c r="G33" s="15" t="s">
        <v>564</v>
      </c>
    </row>
    <row r="34" spans="1:7" x14ac:dyDescent="0.25">
      <c r="A34" s="109"/>
      <c r="B34" s="124" t="s">
        <v>183</v>
      </c>
      <c r="C34" s="91"/>
      <c r="D34" s="91"/>
      <c r="E34" s="91"/>
      <c r="F34" s="91"/>
      <c r="G34" s="92"/>
    </row>
    <row r="35" spans="1:7" x14ac:dyDescent="0.25">
      <c r="A35" s="109"/>
      <c r="B35" s="21" t="s">
        <v>163</v>
      </c>
      <c r="C35" s="21" t="s">
        <v>172</v>
      </c>
      <c r="D35" s="21" t="s">
        <v>19</v>
      </c>
      <c r="E35" s="21" t="s">
        <v>173</v>
      </c>
      <c r="F35" s="21" t="s">
        <v>174</v>
      </c>
      <c r="G35" s="21" t="s">
        <v>175</v>
      </c>
    </row>
    <row r="36" spans="1:7" ht="112" customHeight="1" x14ac:dyDescent="0.25">
      <c r="A36" s="110"/>
      <c r="B36" s="45" t="s">
        <v>591</v>
      </c>
      <c r="C36" s="18" t="s">
        <v>593</v>
      </c>
      <c r="D36" s="18" t="s">
        <v>564</v>
      </c>
      <c r="E36" s="18" t="s">
        <v>261</v>
      </c>
      <c r="F36" s="18" t="s">
        <v>594</v>
      </c>
      <c r="G36" s="18" t="s">
        <v>595</v>
      </c>
    </row>
    <row r="37" spans="1:7" x14ac:dyDescent="0.25">
      <c r="A37" s="114" t="s">
        <v>84</v>
      </c>
      <c r="B37" s="121" t="s">
        <v>180</v>
      </c>
      <c r="C37" s="91"/>
      <c r="D37" s="91"/>
      <c r="E37" s="91"/>
      <c r="F37" s="91"/>
      <c r="G37" s="92"/>
    </row>
    <row r="38" spans="1:7" x14ac:dyDescent="0.25">
      <c r="A38" s="109"/>
      <c r="B38" s="122" t="s">
        <v>181</v>
      </c>
      <c r="C38" s="91"/>
      <c r="D38" s="91"/>
      <c r="E38" s="91"/>
      <c r="F38" s="91"/>
      <c r="G38" s="92"/>
    </row>
    <row r="39" spans="1:7" x14ac:dyDescent="0.25">
      <c r="A39" s="109"/>
      <c r="B39" s="64" t="s">
        <v>163</v>
      </c>
      <c r="C39" s="122" t="s">
        <v>164</v>
      </c>
      <c r="D39" s="91"/>
      <c r="E39" s="92"/>
      <c r="F39" s="34" t="s">
        <v>165</v>
      </c>
      <c r="G39" s="34" t="s">
        <v>166</v>
      </c>
    </row>
    <row r="40" spans="1:7" x14ac:dyDescent="0.25">
      <c r="A40" s="109"/>
      <c r="B40" s="20" t="s">
        <v>596</v>
      </c>
      <c r="C40" s="123" t="s">
        <v>597</v>
      </c>
      <c r="D40" s="91"/>
      <c r="E40" s="92"/>
      <c r="F40" s="17" t="s">
        <v>539</v>
      </c>
      <c r="G40" s="15" t="s">
        <v>481</v>
      </c>
    </row>
    <row r="41" spans="1:7" x14ac:dyDescent="0.25">
      <c r="A41" s="109"/>
      <c r="B41" s="20" t="s">
        <v>598</v>
      </c>
      <c r="C41" s="123" t="s">
        <v>599</v>
      </c>
      <c r="D41" s="91"/>
      <c r="E41" s="92"/>
      <c r="F41" s="17" t="s">
        <v>539</v>
      </c>
      <c r="G41" s="15" t="s">
        <v>600</v>
      </c>
    </row>
    <row r="42" spans="1:7" x14ac:dyDescent="0.25">
      <c r="A42" s="109"/>
      <c r="B42" s="124" t="s">
        <v>183</v>
      </c>
      <c r="C42" s="91"/>
      <c r="D42" s="91"/>
      <c r="E42" s="91"/>
      <c r="F42" s="91"/>
      <c r="G42" s="92"/>
    </row>
    <row r="43" spans="1:7" x14ac:dyDescent="0.25">
      <c r="A43" s="109"/>
      <c r="B43" s="21" t="s">
        <v>163</v>
      </c>
      <c r="C43" s="21" t="s">
        <v>172</v>
      </c>
      <c r="D43" s="21" t="s">
        <v>19</v>
      </c>
      <c r="E43" s="21" t="s">
        <v>173</v>
      </c>
      <c r="F43" s="21" t="s">
        <v>174</v>
      </c>
      <c r="G43" s="21" t="s">
        <v>175</v>
      </c>
    </row>
    <row r="44" spans="1:7" ht="84" customHeight="1" x14ac:dyDescent="0.25">
      <c r="A44" s="109"/>
      <c r="B44" s="18" t="s">
        <v>596</v>
      </c>
      <c r="C44" s="18" t="s">
        <v>597</v>
      </c>
      <c r="D44" s="18" t="s">
        <v>481</v>
      </c>
      <c r="E44" s="18" t="s">
        <v>462</v>
      </c>
      <c r="F44" s="18" t="s">
        <v>601</v>
      </c>
      <c r="G44" s="18" t="s">
        <v>602</v>
      </c>
    </row>
    <row r="45" spans="1:7" ht="84" customHeight="1" x14ac:dyDescent="0.25">
      <c r="A45" s="110"/>
      <c r="B45" s="18" t="s">
        <v>598</v>
      </c>
      <c r="C45" s="18" t="s">
        <v>599</v>
      </c>
      <c r="D45" s="18" t="s">
        <v>600</v>
      </c>
      <c r="E45" s="18" t="s">
        <v>462</v>
      </c>
      <c r="F45" s="18" t="s">
        <v>603</v>
      </c>
      <c r="G45" s="18" t="s">
        <v>604</v>
      </c>
    </row>
    <row r="46" spans="1:7" x14ac:dyDescent="0.25">
      <c r="A46" s="114" t="s">
        <v>86</v>
      </c>
      <c r="B46" s="121" t="s">
        <v>180</v>
      </c>
      <c r="C46" s="91"/>
      <c r="D46" s="91"/>
      <c r="E46" s="91"/>
      <c r="F46" s="91"/>
      <c r="G46" s="92"/>
    </row>
    <row r="47" spans="1:7" x14ac:dyDescent="0.25">
      <c r="A47" s="109"/>
      <c r="B47" s="122" t="s">
        <v>181</v>
      </c>
      <c r="C47" s="91"/>
      <c r="D47" s="91"/>
      <c r="E47" s="91"/>
      <c r="F47" s="91"/>
      <c r="G47" s="92"/>
    </row>
    <row r="48" spans="1:7" x14ac:dyDescent="0.25">
      <c r="A48" s="109"/>
      <c r="B48" s="64" t="s">
        <v>163</v>
      </c>
      <c r="C48" s="122" t="s">
        <v>164</v>
      </c>
      <c r="D48" s="91"/>
      <c r="E48" s="92"/>
      <c r="F48" s="34" t="s">
        <v>165</v>
      </c>
      <c r="G48" s="34" t="s">
        <v>166</v>
      </c>
    </row>
    <row r="49" spans="1:7" ht="98" customHeight="1" x14ac:dyDescent="0.25">
      <c r="A49" s="109"/>
      <c r="B49" s="20" t="s">
        <v>605</v>
      </c>
      <c r="C49" s="123" t="s">
        <v>606</v>
      </c>
      <c r="D49" s="91"/>
      <c r="E49" s="92"/>
      <c r="F49" s="17" t="s">
        <v>539</v>
      </c>
      <c r="G49" s="15" t="s">
        <v>607</v>
      </c>
    </row>
    <row r="50" spans="1:7" x14ac:dyDescent="0.25">
      <c r="A50" s="109"/>
      <c r="B50" s="124" t="s">
        <v>183</v>
      </c>
      <c r="C50" s="91"/>
      <c r="D50" s="91"/>
      <c r="E50" s="91"/>
      <c r="F50" s="91"/>
      <c r="G50" s="92"/>
    </row>
    <row r="51" spans="1:7" x14ac:dyDescent="0.25">
      <c r="A51" s="109"/>
      <c r="B51" s="21" t="s">
        <v>163</v>
      </c>
      <c r="C51" s="21" t="s">
        <v>172</v>
      </c>
      <c r="D51" s="21" t="s">
        <v>19</v>
      </c>
      <c r="E51" s="21" t="s">
        <v>173</v>
      </c>
      <c r="F51" s="21" t="s">
        <v>174</v>
      </c>
      <c r="G51" s="21" t="s">
        <v>175</v>
      </c>
    </row>
    <row r="52" spans="1:7" ht="84" customHeight="1" x14ac:dyDescent="0.25">
      <c r="A52" s="110"/>
      <c r="B52" s="18" t="s">
        <v>605</v>
      </c>
      <c r="C52" s="18" t="s">
        <v>608</v>
      </c>
      <c r="D52" s="18" t="s">
        <v>609</v>
      </c>
      <c r="E52" s="18" t="s">
        <v>462</v>
      </c>
      <c r="F52" s="18" t="s">
        <v>610</v>
      </c>
      <c r="G52" s="18" t="s">
        <v>611</v>
      </c>
    </row>
    <row r="53" spans="1:7" x14ac:dyDescent="0.25">
      <c r="A53" s="114" t="s">
        <v>579</v>
      </c>
      <c r="B53" s="121" t="s">
        <v>180</v>
      </c>
      <c r="C53" s="91"/>
      <c r="D53" s="91"/>
      <c r="E53" s="91"/>
      <c r="F53" s="91"/>
      <c r="G53" s="92"/>
    </row>
    <row r="54" spans="1:7" x14ac:dyDescent="0.25">
      <c r="A54" s="109"/>
      <c r="B54" s="122" t="s">
        <v>181</v>
      </c>
      <c r="C54" s="91"/>
      <c r="D54" s="91"/>
      <c r="E54" s="91"/>
      <c r="F54" s="91"/>
      <c r="G54" s="92"/>
    </row>
    <row r="55" spans="1:7" x14ac:dyDescent="0.25">
      <c r="A55" s="109"/>
      <c r="B55" s="64" t="s">
        <v>163</v>
      </c>
      <c r="C55" s="122" t="s">
        <v>164</v>
      </c>
      <c r="D55" s="91"/>
      <c r="E55" s="92"/>
      <c r="F55" s="34" t="s">
        <v>165</v>
      </c>
      <c r="G55" s="34" t="s">
        <v>166</v>
      </c>
    </row>
    <row r="56" spans="1:7" ht="56" customHeight="1" x14ac:dyDescent="0.25">
      <c r="A56" s="109"/>
      <c r="B56" s="20" t="s">
        <v>612</v>
      </c>
      <c r="C56" s="123" t="s">
        <v>613</v>
      </c>
      <c r="D56" s="91"/>
      <c r="E56" s="92"/>
      <c r="F56" s="17" t="s">
        <v>539</v>
      </c>
      <c r="G56" s="15" t="s">
        <v>614</v>
      </c>
    </row>
    <row r="57" spans="1:7" ht="56" customHeight="1" x14ac:dyDescent="0.25">
      <c r="A57" s="109"/>
      <c r="B57" s="20" t="s">
        <v>615</v>
      </c>
      <c r="C57" s="123" t="s">
        <v>613</v>
      </c>
      <c r="D57" s="91"/>
      <c r="E57" s="92"/>
      <c r="F57" s="17" t="s">
        <v>539</v>
      </c>
      <c r="G57" s="15" t="s">
        <v>616</v>
      </c>
    </row>
    <row r="58" spans="1:7" x14ac:dyDescent="0.25">
      <c r="A58" s="109"/>
      <c r="B58" s="124" t="s">
        <v>183</v>
      </c>
      <c r="C58" s="91"/>
      <c r="D58" s="91"/>
      <c r="E58" s="91"/>
      <c r="F58" s="91"/>
      <c r="G58" s="92"/>
    </row>
    <row r="59" spans="1:7" x14ac:dyDescent="0.25">
      <c r="A59" s="109"/>
      <c r="B59" s="21" t="s">
        <v>163</v>
      </c>
      <c r="C59" s="21" t="s">
        <v>172</v>
      </c>
      <c r="D59" s="21" t="s">
        <v>19</v>
      </c>
      <c r="E59" s="21" t="s">
        <v>173</v>
      </c>
      <c r="F59" s="21" t="s">
        <v>174</v>
      </c>
      <c r="G59" s="21" t="s">
        <v>175</v>
      </c>
    </row>
    <row r="60" spans="1:7" ht="70" customHeight="1" x14ac:dyDescent="0.25">
      <c r="A60" s="109"/>
      <c r="B60" s="18" t="s">
        <v>612</v>
      </c>
      <c r="C60" s="18" t="s">
        <v>613</v>
      </c>
      <c r="D60" s="18" t="s">
        <v>617</v>
      </c>
      <c r="E60" s="18" t="s">
        <v>462</v>
      </c>
      <c r="F60" s="18" t="s">
        <v>618</v>
      </c>
      <c r="G60" s="18" t="s">
        <v>619</v>
      </c>
    </row>
    <row r="61" spans="1:7" ht="98" customHeight="1" x14ac:dyDescent="0.25">
      <c r="A61" s="110"/>
      <c r="B61" s="18" t="s">
        <v>615</v>
      </c>
      <c r="C61" s="18" t="s">
        <v>613</v>
      </c>
      <c r="D61" s="18" t="s">
        <v>620</v>
      </c>
      <c r="E61" s="18" t="s">
        <v>462</v>
      </c>
      <c r="F61" s="18" t="s">
        <v>621</v>
      </c>
      <c r="G61" s="18" t="s">
        <v>619</v>
      </c>
    </row>
    <row r="62" spans="1:7" x14ac:dyDescent="0.25">
      <c r="A62" s="114" t="s">
        <v>622</v>
      </c>
      <c r="B62" s="121" t="s">
        <v>180</v>
      </c>
      <c r="C62" s="91"/>
      <c r="D62" s="91"/>
      <c r="E62" s="91"/>
      <c r="F62" s="91"/>
      <c r="G62" s="92"/>
    </row>
    <row r="63" spans="1:7" x14ac:dyDescent="0.25">
      <c r="A63" s="109"/>
      <c r="B63" s="122" t="s">
        <v>181</v>
      </c>
      <c r="C63" s="91"/>
      <c r="D63" s="91"/>
      <c r="E63" s="91"/>
      <c r="F63" s="91"/>
      <c r="G63" s="92"/>
    </row>
    <row r="64" spans="1:7" x14ac:dyDescent="0.25">
      <c r="A64" s="109"/>
      <c r="B64" s="64" t="s">
        <v>163</v>
      </c>
      <c r="C64" s="122" t="s">
        <v>164</v>
      </c>
      <c r="D64" s="91"/>
      <c r="E64" s="92"/>
      <c r="F64" s="34" t="s">
        <v>165</v>
      </c>
      <c r="G64" s="34" t="s">
        <v>166</v>
      </c>
    </row>
    <row r="65" spans="1:7" x14ac:dyDescent="0.25">
      <c r="A65" s="109"/>
      <c r="B65" s="20" t="s">
        <v>623</v>
      </c>
      <c r="C65" s="123" t="s">
        <v>624</v>
      </c>
      <c r="D65" s="91"/>
      <c r="E65" s="92"/>
      <c r="F65" s="17" t="s">
        <v>539</v>
      </c>
      <c r="G65" s="15" t="s">
        <v>625</v>
      </c>
    </row>
    <row r="66" spans="1:7" x14ac:dyDescent="0.25">
      <c r="A66" s="109"/>
      <c r="B66" s="124" t="s">
        <v>183</v>
      </c>
      <c r="C66" s="91"/>
      <c r="D66" s="91"/>
      <c r="E66" s="91"/>
      <c r="F66" s="91"/>
      <c r="G66" s="92"/>
    </row>
    <row r="67" spans="1:7" x14ac:dyDescent="0.25">
      <c r="A67" s="109"/>
      <c r="B67" s="21" t="s">
        <v>163</v>
      </c>
      <c r="C67" s="21" t="s">
        <v>172</v>
      </c>
      <c r="D67" s="21" t="s">
        <v>19</v>
      </c>
      <c r="E67" s="21" t="s">
        <v>173</v>
      </c>
      <c r="F67" s="21" t="s">
        <v>174</v>
      </c>
      <c r="G67" s="21" t="s">
        <v>175</v>
      </c>
    </row>
    <row r="68" spans="1:7" ht="70" customHeight="1" x14ac:dyDescent="0.25">
      <c r="A68" s="110"/>
      <c r="B68" s="18" t="s">
        <v>623</v>
      </c>
      <c r="C68" s="18" t="s">
        <v>624</v>
      </c>
      <c r="D68" s="18" t="s">
        <v>626</v>
      </c>
      <c r="E68" s="18" t="s">
        <v>462</v>
      </c>
      <c r="F68" s="18" t="s">
        <v>627</v>
      </c>
      <c r="G68" s="18" t="s">
        <v>611</v>
      </c>
    </row>
    <row r="69" spans="1:7" x14ac:dyDescent="0.25">
      <c r="A69" s="114" t="s">
        <v>92</v>
      </c>
      <c r="B69" s="121" t="s">
        <v>180</v>
      </c>
      <c r="C69" s="91"/>
      <c r="D69" s="91"/>
      <c r="E69" s="91"/>
      <c r="F69" s="91"/>
      <c r="G69" s="92"/>
    </row>
    <row r="70" spans="1:7" x14ac:dyDescent="0.25">
      <c r="A70" s="109"/>
      <c r="B70" s="122" t="s">
        <v>181</v>
      </c>
      <c r="C70" s="91"/>
      <c r="D70" s="91"/>
      <c r="E70" s="91"/>
      <c r="F70" s="91"/>
      <c r="G70" s="92"/>
    </row>
    <row r="71" spans="1:7" x14ac:dyDescent="0.25">
      <c r="A71" s="109"/>
      <c r="B71" s="64" t="s">
        <v>163</v>
      </c>
      <c r="C71" s="122" t="s">
        <v>164</v>
      </c>
      <c r="D71" s="91"/>
      <c r="E71" s="92"/>
      <c r="F71" s="34" t="s">
        <v>165</v>
      </c>
      <c r="G71" s="34" t="s">
        <v>166</v>
      </c>
    </row>
    <row r="72" spans="1:7" x14ac:dyDescent="0.25">
      <c r="A72" s="109"/>
      <c r="B72" s="20" t="s">
        <v>628</v>
      </c>
      <c r="C72" s="123" t="s">
        <v>629</v>
      </c>
      <c r="D72" s="91"/>
      <c r="E72" s="92"/>
      <c r="F72" s="17" t="s">
        <v>539</v>
      </c>
      <c r="G72" s="15" t="s">
        <v>630</v>
      </c>
    </row>
    <row r="73" spans="1:7" x14ac:dyDescent="0.25">
      <c r="A73" s="109"/>
      <c r="B73" s="124" t="s">
        <v>183</v>
      </c>
      <c r="C73" s="91"/>
      <c r="D73" s="91"/>
      <c r="E73" s="91"/>
      <c r="F73" s="91"/>
      <c r="G73" s="92"/>
    </row>
    <row r="74" spans="1:7" x14ac:dyDescent="0.25">
      <c r="A74" s="109"/>
      <c r="B74" s="21" t="s">
        <v>163</v>
      </c>
      <c r="C74" s="21" t="s">
        <v>172</v>
      </c>
      <c r="D74" s="21" t="s">
        <v>19</v>
      </c>
      <c r="E74" s="21" t="s">
        <v>173</v>
      </c>
      <c r="F74" s="21" t="s">
        <v>174</v>
      </c>
      <c r="G74" s="21" t="s">
        <v>175</v>
      </c>
    </row>
    <row r="75" spans="1:7" ht="70" customHeight="1" x14ac:dyDescent="0.25">
      <c r="A75" s="110"/>
      <c r="B75" s="18" t="s">
        <v>628</v>
      </c>
      <c r="C75" s="18" t="s">
        <v>629</v>
      </c>
      <c r="D75" s="18" t="s">
        <v>630</v>
      </c>
      <c r="E75" s="18" t="s">
        <v>462</v>
      </c>
      <c r="F75" s="18" t="s">
        <v>631</v>
      </c>
      <c r="G75" s="18" t="s">
        <v>632</v>
      </c>
    </row>
  </sheetData>
  <mergeCells count="63">
    <mergeCell ref="F1:G1"/>
    <mergeCell ref="F2:G2"/>
    <mergeCell ref="F4:G4"/>
    <mergeCell ref="F5:G5"/>
    <mergeCell ref="F3:G3"/>
    <mergeCell ref="F8:G8"/>
    <mergeCell ref="F6:G6"/>
    <mergeCell ref="F7:G7"/>
    <mergeCell ref="A9:A29"/>
    <mergeCell ref="B9:G9"/>
    <mergeCell ref="B10:G10"/>
    <mergeCell ref="B11:B19"/>
    <mergeCell ref="F11:G11"/>
    <mergeCell ref="C12:C13"/>
    <mergeCell ref="F12:G13"/>
    <mergeCell ref="B20:G20"/>
    <mergeCell ref="B21:B23"/>
    <mergeCell ref="C14:C19"/>
    <mergeCell ref="F14:G19"/>
    <mergeCell ref="A1:A8"/>
    <mergeCell ref="C22:C23"/>
    <mergeCell ref="B24:G24"/>
    <mergeCell ref="C25:E25"/>
    <mergeCell ref="C26:E26"/>
    <mergeCell ref="B27:G27"/>
    <mergeCell ref="A30:A36"/>
    <mergeCell ref="B30:G30"/>
    <mergeCell ref="B31:G31"/>
    <mergeCell ref="C32:E32"/>
    <mergeCell ref="C33:E33"/>
    <mergeCell ref="B34:G34"/>
    <mergeCell ref="A37:A45"/>
    <mergeCell ref="B37:G37"/>
    <mergeCell ref="B38:G38"/>
    <mergeCell ref="C39:E39"/>
    <mergeCell ref="C40:E40"/>
    <mergeCell ref="B42:G42"/>
    <mergeCell ref="C41:E41"/>
    <mergeCell ref="A46:A52"/>
    <mergeCell ref="B46:G46"/>
    <mergeCell ref="B47:G47"/>
    <mergeCell ref="C48:E48"/>
    <mergeCell ref="C49:E49"/>
    <mergeCell ref="B50:G50"/>
    <mergeCell ref="A53:A61"/>
    <mergeCell ref="B53:G53"/>
    <mergeCell ref="B54:G54"/>
    <mergeCell ref="C55:E55"/>
    <mergeCell ref="C56:E56"/>
    <mergeCell ref="B58:G58"/>
    <mergeCell ref="C57:E57"/>
    <mergeCell ref="A62:A68"/>
    <mergeCell ref="B62:G62"/>
    <mergeCell ref="B63:G63"/>
    <mergeCell ref="C64:E64"/>
    <mergeCell ref="C65:E65"/>
    <mergeCell ref="B66:G66"/>
    <mergeCell ref="A69:A75"/>
    <mergeCell ref="B69:G69"/>
    <mergeCell ref="B70:G70"/>
    <mergeCell ref="C71:E71"/>
    <mergeCell ref="C72:E72"/>
    <mergeCell ref="B73:G73"/>
  </mergeCells>
  <phoneticPr fontId="1" type="noConversion"/>
  <dataValidations count="1">
    <dataValidation type="list" allowBlank="1" showInputMessage="1" showErrorMessage="1" sqref="C2:C8">
      <formula1>"流程图,状态机,等价类划分&amp;数据组合,直接分析"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V122"/>
  <sheetViews>
    <sheetView tabSelected="1" workbookViewId="0">
      <selection activeCell="F18" sqref="F18"/>
    </sheetView>
  </sheetViews>
  <sheetFormatPr defaultRowHeight="15" customHeight="1" x14ac:dyDescent="0.25"/>
  <cols>
    <col min="4" max="4" width="9" style="61" customWidth="1"/>
    <col min="5" max="5" width="10.26953125" style="48" customWidth="1"/>
    <col min="6" max="6" width="53.54296875" style="19" customWidth="1"/>
    <col min="7" max="7" width="39.1796875" style="48" customWidth="1"/>
    <col min="8" max="8" width="8.81640625" style="53" customWidth="1"/>
    <col min="9" max="9" width="7.26953125" style="48" customWidth="1"/>
    <col min="10" max="10" width="8" style="48" customWidth="1"/>
    <col min="11" max="11" width="6" style="48" customWidth="1"/>
    <col min="12" max="12" width="9.7265625" style="48" customWidth="1"/>
    <col min="13" max="13" width="62.1796875" style="48" customWidth="1"/>
    <col min="14" max="14" width="16.7265625" style="54" customWidth="1"/>
    <col min="15" max="15" width="20.26953125" style="48" customWidth="1"/>
    <col min="16" max="16" width="18" style="48" customWidth="1"/>
    <col min="17" max="17" width="9.7265625" style="48" customWidth="1"/>
    <col min="18" max="18" width="8.26953125" style="32" customWidth="1"/>
    <col min="19" max="19" width="9.90625" style="48" customWidth="1"/>
    <col min="20" max="20" width="7.6328125" style="48" customWidth="1"/>
    <col min="21" max="21" width="8.7265625" style="48" customWidth="1"/>
    <col min="22" max="22" width="7.453125" style="48" customWidth="1"/>
  </cols>
  <sheetData>
    <row r="1" spans="1:48" ht="15" customHeight="1" x14ac:dyDescent="0.25">
      <c r="A1" s="72" t="s">
        <v>633</v>
      </c>
      <c r="B1" s="72" t="s">
        <v>634</v>
      </c>
      <c r="C1" s="72" t="s">
        <v>635</v>
      </c>
      <c r="D1" s="72" t="s">
        <v>13</v>
      </c>
      <c r="E1" s="72" t="s">
        <v>14</v>
      </c>
      <c r="F1" s="72" t="s">
        <v>636</v>
      </c>
      <c r="G1" s="72" t="s">
        <v>637</v>
      </c>
      <c r="H1" s="73" t="s">
        <v>638</v>
      </c>
      <c r="I1" s="72" t="s">
        <v>639</v>
      </c>
      <c r="J1" s="72" t="s">
        <v>640</v>
      </c>
      <c r="K1" s="72" t="s">
        <v>641</v>
      </c>
      <c r="L1" s="72" t="s">
        <v>173</v>
      </c>
      <c r="M1" s="72" t="s">
        <v>642</v>
      </c>
      <c r="N1" s="74" t="s">
        <v>643</v>
      </c>
      <c r="O1" s="72" t="s">
        <v>644</v>
      </c>
      <c r="P1" s="72" t="s">
        <v>645</v>
      </c>
      <c r="Q1" s="72" t="s">
        <v>646</v>
      </c>
      <c r="R1" s="72" t="s">
        <v>647</v>
      </c>
      <c r="S1" s="72" t="s">
        <v>648</v>
      </c>
      <c r="T1" s="72" t="s">
        <v>649</v>
      </c>
      <c r="U1" s="72" t="s">
        <v>650</v>
      </c>
      <c r="V1" s="72" t="s">
        <v>651</v>
      </c>
      <c r="AH1" s="17" t="s">
        <v>652</v>
      </c>
      <c r="AI1" s="17" t="s">
        <v>653</v>
      </c>
      <c r="AJ1" s="17" t="s">
        <v>654</v>
      </c>
      <c r="AK1" s="17" t="s">
        <v>655</v>
      </c>
      <c r="AL1" s="17" t="s">
        <v>656</v>
      </c>
      <c r="AM1" s="17" t="s">
        <v>657</v>
      </c>
      <c r="AN1" s="17" t="s">
        <v>658</v>
      </c>
      <c r="AO1" s="61"/>
      <c r="AP1" s="61" t="s">
        <v>659</v>
      </c>
      <c r="AQ1" s="61" t="s">
        <v>660</v>
      </c>
      <c r="AR1" s="61" t="s">
        <v>661</v>
      </c>
      <c r="AS1" s="61" t="s">
        <v>662</v>
      </c>
      <c r="AT1" s="61" t="s">
        <v>663</v>
      </c>
      <c r="AU1" s="61" t="s">
        <v>37</v>
      </c>
      <c r="AV1" s="61"/>
    </row>
    <row r="2" spans="1:48" ht="15" customHeight="1" x14ac:dyDescent="0.25">
      <c r="A2" s="75" t="s">
        <v>664</v>
      </c>
      <c r="B2" s="75"/>
      <c r="C2" s="75"/>
      <c r="D2" s="75"/>
      <c r="E2" s="75"/>
      <c r="F2" s="76"/>
      <c r="G2" s="75"/>
      <c r="H2" s="77"/>
      <c r="I2" s="75"/>
      <c r="J2" s="75"/>
      <c r="K2" s="75"/>
      <c r="L2" s="75"/>
      <c r="M2" s="75"/>
      <c r="N2" s="75"/>
      <c r="O2" s="75"/>
      <c r="P2" s="75"/>
      <c r="Q2" s="75"/>
      <c r="R2" s="78"/>
      <c r="S2" s="75"/>
      <c r="T2" s="75"/>
      <c r="U2" s="75"/>
      <c r="V2" s="75"/>
    </row>
    <row r="3" spans="1:48" ht="15" customHeight="1" x14ac:dyDescent="0.25">
      <c r="A3" s="75"/>
      <c r="B3" s="75" t="s">
        <v>665</v>
      </c>
      <c r="C3" s="75"/>
      <c r="D3" s="75"/>
      <c r="E3" s="75"/>
      <c r="F3" s="76"/>
      <c r="G3" s="75"/>
      <c r="H3" s="77"/>
      <c r="I3" s="75"/>
      <c r="J3" s="75"/>
      <c r="K3" s="75"/>
      <c r="L3" s="75"/>
      <c r="M3" s="75"/>
      <c r="N3" s="75"/>
      <c r="O3" s="75"/>
      <c r="P3" s="75"/>
      <c r="Q3" s="75"/>
      <c r="R3" s="78"/>
      <c r="S3" s="75"/>
      <c r="T3" s="75"/>
      <c r="U3" s="75"/>
      <c r="V3" s="75"/>
      <c r="W3" s="61"/>
    </row>
    <row r="4" spans="1:48" ht="15" customHeight="1" x14ac:dyDescent="0.25">
      <c r="A4" s="75"/>
      <c r="B4" s="75"/>
      <c r="C4" s="78" t="s">
        <v>666</v>
      </c>
      <c r="D4" s="78"/>
      <c r="E4" s="78"/>
      <c r="F4" s="76"/>
      <c r="G4" s="75"/>
      <c r="H4" s="77"/>
      <c r="I4" s="75"/>
      <c r="J4" s="75"/>
      <c r="K4" s="75"/>
      <c r="L4" s="75"/>
      <c r="M4" s="75"/>
      <c r="N4" s="75"/>
      <c r="O4" s="75"/>
      <c r="P4" s="75"/>
      <c r="Q4" s="75"/>
      <c r="R4" s="78"/>
      <c r="S4" s="75"/>
      <c r="T4" s="75"/>
      <c r="U4" s="75"/>
      <c r="V4" s="75"/>
      <c r="W4" s="61"/>
    </row>
    <row r="5" spans="1:48" s="61" customFormat="1" ht="15" customHeight="1" x14ac:dyDescent="0.25">
      <c r="A5" s="75"/>
      <c r="B5" s="75"/>
      <c r="C5" s="78"/>
      <c r="D5" s="79" t="s">
        <v>20</v>
      </c>
      <c r="E5" s="79"/>
      <c r="F5" s="79"/>
      <c r="G5" s="79"/>
      <c r="H5" s="79"/>
      <c r="I5" s="79"/>
      <c r="J5" s="79"/>
      <c r="K5" s="79"/>
      <c r="L5" s="79"/>
      <c r="M5" s="79"/>
      <c r="N5" s="75"/>
      <c r="O5" s="75"/>
      <c r="P5" s="75"/>
      <c r="Q5" s="75"/>
      <c r="R5" s="78"/>
      <c r="S5" s="75"/>
      <c r="T5" s="75"/>
      <c r="U5" s="75"/>
      <c r="V5" s="75"/>
    </row>
    <row r="6" spans="1:48" s="61" customFormat="1" ht="15" customHeight="1" x14ac:dyDescent="0.25">
      <c r="A6" s="75"/>
      <c r="B6" s="75"/>
      <c r="C6" s="78"/>
      <c r="D6" s="79"/>
      <c r="E6" s="79" t="s">
        <v>21</v>
      </c>
      <c r="F6" s="79"/>
      <c r="G6" s="79"/>
      <c r="H6" s="79"/>
      <c r="I6" s="79"/>
      <c r="J6" s="79"/>
      <c r="K6" s="79"/>
      <c r="L6" s="79"/>
      <c r="M6" s="79"/>
      <c r="N6" s="75"/>
      <c r="O6" s="75"/>
      <c r="P6" s="75"/>
      <c r="Q6" s="75"/>
      <c r="R6" s="78"/>
      <c r="S6" s="75"/>
      <c r="T6" s="75"/>
      <c r="U6" s="75"/>
      <c r="V6" s="75"/>
    </row>
    <row r="7" spans="1:48" s="61" customFormat="1" ht="15" customHeight="1" x14ac:dyDescent="0.25">
      <c r="A7" s="75"/>
      <c r="B7" s="75"/>
      <c r="C7" s="78"/>
      <c r="D7" s="79"/>
      <c r="E7" s="79"/>
      <c r="F7" s="79" t="s">
        <v>952</v>
      </c>
      <c r="G7" s="79" t="s">
        <v>667</v>
      </c>
      <c r="H7" s="79">
        <v>1200101</v>
      </c>
      <c r="I7" s="79" t="s">
        <v>652</v>
      </c>
      <c r="J7" s="79" t="s">
        <v>95</v>
      </c>
      <c r="K7" s="79"/>
      <c r="L7" s="79" t="s">
        <v>177</v>
      </c>
      <c r="M7" s="79" t="s">
        <v>953</v>
      </c>
      <c r="N7" s="79" t="s">
        <v>179</v>
      </c>
      <c r="O7" s="79" t="s">
        <v>668</v>
      </c>
      <c r="P7" s="79" t="s">
        <v>669</v>
      </c>
      <c r="Q7" s="75"/>
      <c r="R7" s="78" t="s">
        <v>1022</v>
      </c>
      <c r="S7" s="79" t="s">
        <v>659</v>
      </c>
      <c r="T7" s="79" t="s">
        <v>671</v>
      </c>
      <c r="U7" s="75"/>
      <c r="V7" s="75"/>
    </row>
    <row r="8" spans="1:48" s="61" customFormat="1" ht="15" customHeight="1" x14ac:dyDescent="0.25">
      <c r="A8" s="75"/>
      <c r="B8" s="75"/>
      <c r="C8" s="78"/>
      <c r="D8" s="79"/>
      <c r="E8" s="79"/>
      <c r="F8" s="79" t="s">
        <v>672</v>
      </c>
      <c r="G8" s="79" t="s">
        <v>673</v>
      </c>
      <c r="H8" s="79">
        <v>1200102</v>
      </c>
      <c r="I8" s="79" t="s">
        <v>652</v>
      </c>
      <c r="J8" s="79" t="s">
        <v>95</v>
      </c>
      <c r="K8" s="79"/>
      <c r="L8" s="79" t="s">
        <v>177</v>
      </c>
      <c r="M8" s="79" t="s">
        <v>954</v>
      </c>
      <c r="N8" s="79" t="s">
        <v>179</v>
      </c>
      <c r="O8" s="79" t="s">
        <v>668</v>
      </c>
      <c r="P8" s="79" t="s">
        <v>669</v>
      </c>
      <c r="Q8" s="75"/>
      <c r="R8" s="78"/>
      <c r="S8" s="79" t="s">
        <v>659</v>
      </c>
      <c r="T8" s="79" t="s">
        <v>671</v>
      </c>
      <c r="U8" s="75"/>
      <c r="V8" s="75"/>
    </row>
    <row r="9" spans="1:48" s="61" customFormat="1" ht="15" customHeight="1" x14ac:dyDescent="0.25">
      <c r="A9" s="75"/>
      <c r="B9" s="75"/>
      <c r="C9" s="78"/>
      <c r="D9" s="79"/>
      <c r="E9" s="79"/>
      <c r="F9" s="79" t="s">
        <v>674</v>
      </c>
      <c r="G9" s="79" t="s">
        <v>675</v>
      </c>
      <c r="H9" s="79">
        <v>1200103</v>
      </c>
      <c r="I9" s="79" t="s">
        <v>652</v>
      </c>
      <c r="J9" s="79" t="s">
        <v>95</v>
      </c>
      <c r="K9" s="79"/>
      <c r="L9" s="79" t="s">
        <v>177</v>
      </c>
      <c r="M9" s="79" t="s">
        <v>955</v>
      </c>
      <c r="N9" s="79" t="s">
        <v>179</v>
      </c>
      <c r="O9" s="79" t="s">
        <v>668</v>
      </c>
      <c r="P9" s="79" t="s">
        <v>669</v>
      </c>
      <c r="Q9" s="75"/>
      <c r="R9" s="78"/>
      <c r="S9" s="79" t="s">
        <v>659</v>
      </c>
      <c r="T9" s="79" t="s">
        <v>671</v>
      </c>
      <c r="U9" s="75"/>
      <c r="V9" s="75"/>
    </row>
    <row r="10" spans="1:48" s="61" customFormat="1" ht="15" customHeight="1" x14ac:dyDescent="0.25">
      <c r="A10" s="75"/>
      <c r="B10" s="75"/>
      <c r="C10" s="78"/>
      <c r="D10" s="79"/>
      <c r="E10" s="79"/>
      <c r="F10" s="79" t="s">
        <v>676</v>
      </c>
      <c r="G10" s="79" t="s">
        <v>677</v>
      </c>
      <c r="H10" s="79">
        <v>1200104</v>
      </c>
      <c r="I10" s="79" t="s">
        <v>652</v>
      </c>
      <c r="J10" s="79" t="s">
        <v>95</v>
      </c>
      <c r="K10" s="79"/>
      <c r="L10" s="79" t="s">
        <v>177</v>
      </c>
      <c r="M10" s="79" t="s">
        <v>956</v>
      </c>
      <c r="N10" s="79" t="s">
        <v>179</v>
      </c>
      <c r="O10" s="79" t="s">
        <v>668</v>
      </c>
      <c r="P10" s="79" t="s">
        <v>669</v>
      </c>
      <c r="Q10" s="75"/>
      <c r="R10" s="78"/>
      <c r="S10" s="79" t="s">
        <v>659</v>
      </c>
      <c r="T10" s="79" t="s">
        <v>671</v>
      </c>
      <c r="U10" s="75"/>
      <c r="V10" s="75"/>
    </row>
    <row r="11" spans="1:48" s="61" customFormat="1" ht="15" customHeight="1" x14ac:dyDescent="0.25">
      <c r="A11" s="75"/>
      <c r="B11" s="75"/>
      <c r="C11" s="78"/>
      <c r="D11" s="79"/>
      <c r="E11" s="79"/>
      <c r="F11" s="79" t="s">
        <v>185</v>
      </c>
      <c r="G11" s="79" t="s">
        <v>957</v>
      </c>
      <c r="H11" s="79">
        <v>1200105</v>
      </c>
      <c r="I11" s="79" t="s">
        <v>652</v>
      </c>
      <c r="J11" s="79" t="s">
        <v>95</v>
      </c>
      <c r="K11" s="79"/>
      <c r="L11" s="79" t="s">
        <v>177</v>
      </c>
      <c r="M11" s="79" t="s">
        <v>684</v>
      </c>
      <c r="N11" s="79" t="s">
        <v>188</v>
      </c>
      <c r="O11" s="79" t="s">
        <v>668</v>
      </c>
      <c r="P11" s="79" t="s">
        <v>669</v>
      </c>
      <c r="Q11" s="75"/>
      <c r="R11" s="78"/>
      <c r="S11" s="79" t="s">
        <v>659</v>
      </c>
      <c r="T11" s="79" t="s">
        <v>671</v>
      </c>
      <c r="U11" s="75"/>
      <c r="V11" s="75"/>
    </row>
    <row r="12" spans="1:48" s="61" customFormat="1" ht="15" customHeight="1" x14ac:dyDescent="0.25">
      <c r="A12" s="75"/>
      <c r="B12" s="75"/>
      <c r="C12" s="78"/>
      <c r="D12" s="79"/>
      <c r="E12" s="79"/>
      <c r="F12" s="79" t="s">
        <v>679</v>
      </c>
      <c r="G12" s="79" t="s">
        <v>678</v>
      </c>
      <c r="H12" s="79">
        <v>1200106</v>
      </c>
      <c r="I12" s="79" t="s">
        <v>652</v>
      </c>
      <c r="J12" s="79" t="s">
        <v>95</v>
      </c>
      <c r="K12" s="79"/>
      <c r="L12" s="79" t="s">
        <v>177</v>
      </c>
      <c r="M12" s="79" t="s">
        <v>958</v>
      </c>
      <c r="N12" s="79" t="s">
        <v>179</v>
      </c>
      <c r="O12" s="79" t="s">
        <v>668</v>
      </c>
      <c r="P12" s="79" t="s">
        <v>669</v>
      </c>
      <c r="Q12" s="75"/>
      <c r="R12" s="78"/>
      <c r="S12" s="79" t="s">
        <v>659</v>
      </c>
      <c r="T12" s="79" t="s">
        <v>671</v>
      </c>
      <c r="U12" s="75"/>
      <c r="V12" s="75"/>
    </row>
    <row r="13" spans="1:48" s="61" customFormat="1" ht="15" customHeight="1" x14ac:dyDescent="0.25">
      <c r="A13" s="75"/>
      <c r="B13" s="75"/>
      <c r="C13" s="78"/>
      <c r="D13" s="79"/>
      <c r="E13" s="79"/>
      <c r="F13" s="79" t="s">
        <v>681</v>
      </c>
      <c r="G13" s="79" t="s">
        <v>680</v>
      </c>
      <c r="H13" s="79">
        <v>1200107</v>
      </c>
      <c r="I13" s="79" t="s">
        <v>652</v>
      </c>
      <c r="J13" s="79" t="s">
        <v>95</v>
      </c>
      <c r="K13" s="79"/>
      <c r="L13" s="79" t="s">
        <v>177</v>
      </c>
      <c r="M13" s="79" t="s">
        <v>959</v>
      </c>
      <c r="N13" s="79" t="s">
        <v>179</v>
      </c>
      <c r="O13" s="79" t="s">
        <v>668</v>
      </c>
      <c r="P13" s="79" t="s">
        <v>669</v>
      </c>
      <c r="Q13" s="75"/>
      <c r="R13" s="78"/>
      <c r="S13" s="79" t="s">
        <v>659</v>
      </c>
      <c r="T13" s="79" t="s">
        <v>671</v>
      </c>
      <c r="U13" s="75"/>
      <c r="V13" s="75"/>
    </row>
    <row r="14" spans="1:48" s="61" customFormat="1" ht="15" customHeight="1" x14ac:dyDescent="0.25">
      <c r="A14" s="75"/>
      <c r="B14" s="75"/>
      <c r="C14" s="78"/>
      <c r="D14" s="79"/>
      <c r="E14" s="79"/>
      <c r="F14" s="79" t="s">
        <v>683</v>
      </c>
      <c r="G14" s="79" t="s">
        <v>682</v>
      </c>
      <c r="H14" s="79">
        <v>1200108</v>
      </c>
      <c r="I14" s="79" t="s">
        <v>652</v>
      </c>
      <c r="J14" s="79" t="s">
        <v>95</v>
      </c>
      <c r="K14" s="79"/>
      <c r="L14" s="79" t="s">
        <v>177</v>
      </c>
      <c r="M14" s="79" t="s">
        <v>960</v>
      </c>
      <c r="N14" s="79" t="s">
        <v>179</v>
      </c>
      <c r="O14" s="79" t="s">
        <v>668</v>
      </c>
      <c r="P14" s="79" t="s">
        <v>669</v>
      </c>
      <c r="Q14" s="75"/>
      <c r="R14" s="78"/>
      <c r="S14" s="79" t="s">
        <v>659</v>
      </c>
      <c r="T14" s="79" t="s">
        <v>671</v>
      </c>
      <c r="U14" s="75"/>
      <c r="V14" s="75"/>
    </row>
    <row r="15" spans="1:48" s="61" customFormat="1" ht="15" customHeight="1" x14ac:dyDescent="0.25">
      <c r="A15" s="75"/>
      <c r="B15" s="75"/>
      <c r="C15" s="78"/>
      <c r="D15" s="79"/>
      <c r="E15" s="79"/>
      <c r="F15" s="79" t="s">
        <v>199</v>
      </c>
      <c r="G15" s="79" t="s">
        <v>961</v>
      </c>
      <c r="H15" s="79">
        <v>1200109</v>
      </c>
      <c r="I15" s="79" t="s">
        <v>652</v>
      </c>
      <c r="J15" s="79" t="s">
        <v>95</v>
      </c>
      <c r="K15" s="79"/>
      <c r="L15" s="79" t="s">
        <v>177</v>
      </c>
      <c r="M15" s="79" t="s">
        <v>962</v>
      </c>
      <c r="N15" s="79" t="s">
        <v>203</v>
      </c>
      <c r="O15" s="79" t="s">
        <v>668</v>
      </c>
      <c r="P15" s="79" t="s">
        <v>669</v>
      </c>
      <c r="Q15" s="75"/>
      <c r="R15" s="78"/>
      <c r="S15" s="79" t="s">
        <v>659</v>
      </c>
      <c r="T15" s="79" t="s">
        <v>671</v>
      </c>
      <c r="U15" s="75"/>
      <c r="V15" s="75"/>
    </row>
    <row r="16" spans="1:48" s="61" customFormat="1" ht="15" customHeight="1" x14ac:dyDescent="0.25">
      <c r="A16" s="75"/>
      <c r="B16" s="75"/>
      <c r="C16" s="78"/>
      <c r="D16" s="79"/>
      <c r="E16" s="79"/>
      <c r="F16" s="79" t="s">
        <v>209</v>
      </c>
      <c r="G16" s="79" t="s">
        <v>963</v>
      </c>
      <c r="H16" s="79">
        <v>1200110</v>
      </c>
      <c r="I16" s="79" t="s">
        <v>652</v>
      </c>
      <c r="J16" s="79" t="s">
        <v>95</v>
      </c>
      <c r="K16" s="79"/>
      <c r="L16" s="79" t="s">
        <v>177</v>
      </c>
      <c r="M16" s="79" t="s">
        <v>211</v>
      </c>
      <c r="N16" s="79" t="s">
        <v>212</v>
      </c>
      <c r="O16" s="79" t="s">
        <v>668</v>
      </c>
      <c r="P16" s="79" t="s">
        <v>669</v>
      </c>
      <c r="Q16" s="75"/>
      <c r="R16" s="78"/>
      <c r="S16" s="79" t="s">
        <v>659</v>
      </c>
      <c r="T16" s="79" t="s">
        <v>671</v>
      </c>
      <c r="U16" s="75"/>
      <c r="V16" s="75"/>
    </row>
    <row r="17" spans="1:22" s="61" customFormat="1" ht="15" customHeight="1" x14ac:dyDescent="0.25">
      <c r="A17" s="75"/>
      <c r="B17" s="75"/>
      <c r="C17" s="78"/>
      <c r="D17" s="79"/>
      <c r="E17" s="79"/>
      <c r="F17" s="79" t="s">
        <v>214</v>
      </c>
      <c r="G17" s="79" t="s">
        <v>964</v>
      </c>
      <c r="H17" s="79">
        <v>1200111</v>
      </c>
      <c r="I17" s="79" t="s">
        <v>652</v>
      </c>
      <c r="J17" s="79" t="s">
        <v>95</v>
      </c>
      <c r="K17" s="79"/>
      <c r="L17" s="79" t="s">
        <v>177</v>
      </c>
      <c r="M17" s="79" t="s">
        <v>215</v>
      </c>
      <c r="N17" s="79" t="s">
        <v>216</v>
      </c>
      <c r="O17" s="79" t="s">
        <v>668</v>
      </c>
      <c r="P17" s="79" t="s">
        <v>669</v>
      </c>
      <c r="Q17" s="75"/>
      <c r="R17" s="78"/>
      <c r="S17" s="79" t="s">
        <v>659</v>
      </c>
      <c r="T17" s="79" t="s">
        <v>671</v>
      </c>
      <c r="U17" s="75"/>
      <c r="V17" s="75"/>
    </row>
    <row r="18" spans="1:22" s="61" customFormat="1" ht="15" customHeight="1" x14ac:dyDescent="0.25">
      <c r="A18" s="75"/>
      <c r="B18" s="75"/>
      <c r="C18" s="78"/>
      <c r="D18" s="79"/>
      <c r="E18" s="79"/>
      <c r="F18" s="79" t="s">
        <v>218</v>
      </c>
      <c r="G18" s="79" t="s">
        <v>965</v>
      </c>
      <c r="H18" s="79">
        <v>1200112</v>
      </c>
      <c r="I18" s="79" t="s">
        <v>652</v>
      </c>
      <c r="J18" s="79" t="s">
        <v>95</v>
      </c>
      <c r="K18" s="79"/>
      <c r="L18" s="79" t="s">
        <v>177</v>
      </c>
      <c r="M18" s="79" t="s">
        <v>219</v>
      </c>
      <c r="N18" s="79" t="s">
        <v>220</v>
      </c>
      <c r="O18" s="79" t="s">
        <v>668</v>
      </c>
      <c r="P18" s="79" t="s">
        <v>669</v>
      </c>
      <c r="Q18" s="75"/>
      <c r="R18" s="78"/>
      <c r="S18" s="79" t="s">
        <v>659</v>
      </c>
      <c r="T18" s="79" t="s">
        <v>671</v>
      </c>
      <c r="U18" s="75"/>
      <c r="V18" s="75"/>
    </row>
    <row r="19" spans="1:22" s="61" customFormat="1" ht="15" customHeight="1" x14ac:dyDescent="0.25">
      <c r="A19" s="75"/>
      <c r="B19" s="75"/>
      <c r="C19" s="78"/>
      <c r="D19" s="79"/>
      <c r="E19" s="79"/>
      <c r="F19" s="79" t="s">
        <v>222</v>
      </c>
      <c r="G19" s="79" t="s">
        <v>685</v>
      </c>
      <c r="H19" s="79">
        <v>1200113</v>
      </c>
      <c r="I19" s="79" t="s">
        <v>652</v>
      </c>
      <c r="J19" s="79" t="s">
        <v>95</v>
      </c>
      <c r="K19" s="79"/>
      <c r="L19" s="79" t="s">
        <v>177</v>
      </c>
      <c r="M19" s="79" t="s">
        <v>224</v>
      </c>
      <c r="N19" s="79" t="s">
        <v>225</v>
      </c>
      <c r="O19" s="79" t="s">
        <v>668</v>
      </c>
      <c r="P19" s="79" t="s">
        <v>669</v>
      </c>
      <c r="Q19" s="75"/>
      <c r="R19" s="78"/>
      <c r="S19" s="79" t="s">
        <v>659</v>
      </c>
      <c r="T19" s="79" t="s">
        <v>671</v>
      </c>
      <c r="U19" s="75"/>
      <c r="V19" s="75"/>
    </row>
    <row r="20" spans="1:22" s="61" customFormat="1" ht="15" customHeight="1" x14ac:dyDescent="0.25">
      <c r="A20" s="75"/>
      <c r="B20" s="75"/>
      <c r="C20" s="78"/>
      <c r="D20" s="79"/>
      <c r="E20" s="79"/>
      <c r="F20" s="79" t="s">
        <v>230</v>
      </c>
      <c r="G20" s="79" t="s">
        <v>966</v>
      </c>
      <c r="H20" s="79">
        <v>1200114</v>
      </c>
      <c r="I20" s="79" t="s">
        <v>653</v>
      </c>
      <c r="J20" s="79" t="s">
        <v>95</v>
      </c>
      <c r="K20" s="79"/>
      <c r="L20" s="79" t="s">
        <v>177</v>
      </c>
      <c r="M20" s="79" t="s">
        <v>232</v>
      </c>
      <c r="N20" s="79" t="s">
        <v>233</v>
      </c>
      <c r="O20" s="79" t="s">
        <v>668</v>
      </c>
      <c r="P20" s="79" t="s">
        <v>669</v>
      </c>
      <c r="Q20" s="75"/>
      <c r="R20" s="78"/>
      <c r="S20" s="79" t="s">
        <v>659</v>
      </c>
      <c r="T20" s="79" t="s">
        <v>671</v>
      </c>
      <c r="U20" s="75"/>
      <c r="V20" s="75"/>
    </row>
    <row r="21" spans="1:22" s="61" customFormat="1" ht="15" customHeight="1" x14ac:dyDescent="0.25">
      <c r="A21" s="75"/>
      <c r="B21" s="75"/>
      <c r="C21" s="78"/>
      <c r="D21" s="79"/>
      <c r="E21" s="79"/>
      <c r="F21" s="79" t="s">
        <v>252</v>
      </c>
      <c r="G21" s="79" t="s">
        <v>761</v>
      </c>
      <c r="H21" s="79">
        <v>1200115</v>
      </c>
      <c r="I21" s="79" t="s">
        <v>653</v>
      </c>
      <c r="J21" s="79" t="s">
        <v>95</v>
      </c>
      <c r="K21" s="79"/>
      <c r="L21" s="79" t="s">
        <v>177</v>
      </c>
      <c r="M21" s="81" t="s">
        <v>1021</v>
      </c>
      <c r="N21" s="79" t="s">
        <v>257</v>
      </c>
      <c r="O21" s="79" t="s">
        <v>668</v>
      </c>
      <c r="P21" s="79" t="s">
        <v>669</v>
      </c>
      <c r="Q21" s="75"/>
      <c r="R21" s="78"/>
      <c r="S21" s="79" t="s">
        <v>659</v>
      </c>
      <c r="T21" s="79" t="s">
        <v>671</v>
      </c>
      <c r="U21" s="75"/>
      <c r="V21" s="75"/>
    </row>
    <row r="22" spans="1:22" s="61" customFormat="1" ht="15" customHeight="1" x14ac:dyDescent="0.25">
      <c r="A22" s="75"/>
      <c r="B22" s="75"/>
      <c r="C22" s="78"/>
      <c r="D22" s="79"/>
      <c r="E22" s="79"/>
      <c r="F22" s="79" t="s">
        <v>259</v>
      </c>
      <c r="G22" s="79" t="s">
        <v>764</v>
      </c>
      <c r="H22" s="79">
        <v>1200116</v>
      </c>
      <c r="I22" s="79" t="s">
        <v>652</v>
      </c>
      <c r="J22" s="79" t="s">
        <v>95</v>
      </c>
      <c r="K22" s="79"/>
      <c r="L22" s="79" t="s">
        <v>1019</v>
      </c>
      <c r="M22" s="81" t="s">
        <v>1020</v>
      </c>
      <c r="N22" s="79" t="s">
        <v>263</v>
      </c>
      <c r="O22" s="79" t="s">
        <v>668</v>
      </c>
      <c r="P22" s="79" t="s">
        <v>669</v>
      </c>
      <c r="Q22" s="75"/>
      <c r="R22" s="78"/>
      <c r="S22" s="79" t="s">
        <v>659</v>
      </c>
      <c r="T22" s="79" t="s">
        <v>671</v>
      </c>
      <c r="U22" s="75"/>
      <c r="V22" s="75"/>
    </row>
    <row r="23" spans="1:22" ht="15" customHeight="1" x14ac:dyDescent="0.25">
      <c r="A23" s="79"/>
      <c r="B23" s="79"/>
      <c r="C23" s="79"/>
      <c r="D23" s="79" t="s">
        <v>22</v>
      </c>
      <c r="E23" s="79"/>
      <c r="F23" s="79"/>
      <c r="G23" s="79"/>
      <c r="H23" s="80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</row>
    <row r="24" spans="1:22" ht="15" customHeight="1" x14ac:dyDescent="0.25">
      <c r="A24" s="79"/>
      <c r="B24" s="79"/>
      <c r="C24" s="79"/>
      <c r="D24" s="79"/>
      <c r="E24" s="79" t="s">
        <v>23</v>
      </c>
      <c r="F24" s="79"/>
      <c r="G24" s="79"/>
      <c r="H24" s="80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</row>
    <row r="25" spans="1:22" s="61" customFormat="1" ht="15" customHeight="1" x14ac:dyDescent="0.25">
      <c r="A25" s="79"/>
      <c r="B25" s="79"/>
      <c r="C25" s="79"/>
      <c r="D25" s="79"/>
      <c r="E25" s="79"/>
      <c r="F25" s="79" t="s">
        <v>686</v>
      </c>
      <c r="G25" s="79" t="s">
        <v>687</v>
      </c>
      <c r="H25" s="80" t="s">
        <v>1024</v>
      </c>
      <c r="I25" s="79" t="s">
        <v>654</v>
      </c>
      <c r="J25" s="79" t="s">
        <v>97</v>
      </c>
      <c r="K25" s="79"/>
      <c r="L25" s="79" t="s">
        <v>177</v>
      </c>
      <c r="M25" s="79" t="s">
        <v>688</v>
      </c>
      <c r="N25" s="81" t="s">
        <v>1023</v>
      </c>
      <c r="O25" s="79" t="s">
        <v>668</v>
      </c>
      <c r="P25" s="79" t="s">
        <v>669</v>
      </c>
      <c r="Q25" s="79"/>
      <c r="R25" s="79" t="s">
        <v>670</v>
      </c>
      <c r="S25" s="79" t="s">
        <v>660</v>
      </c>
      <c r="T25" s="79" t="s">
        <v>671</v>
      </c>
      <c r="U25" s="79"/>
      <c r="V25" s="79"/>
    </row>
    <row r="26" spans="1:22" s="61" customFormat="1" ht="15" customHeight="1" x14ac:dyDescent="0.25">
      <c r="A26" s="79"/>
      <c r="B26" s="79"/>
      <c r="C26" s="79"/>
      <c r="D26" s="79"/>
      <c r="E26" s="79"/>
      <c r="F26" s="79" t="s">
        <v>689</v>
      </c>
      <c r="G26" s="79" t="s">
        <v>690</v>
      </c>
      <c r="H26" s="80" t="s">
        <v>878</v>
      </c>
      <c r="I26" s="79" t="s">
        <v>654</v>
      </c>
      <c r="J26" s="79" t="s">
        <v>97</v>
      </c>
      <c r="K26" s="79"/>
      <c r="L26" s="79" t="s">
        <v>177</v>
      </c>
      <c r="M26" s="79" t="s">
        <v>691</v>
      </c>
      <c r="N26" s="81" t="s">
        <v>327</v>
      </c>
      <c r="O26" s="79" t="s">
        <v>668</v>
      </c>
      <c r="P26" s="79" t="s">
        <v>669</v>
      </c>
      <c r="Q26" s="79"/>
      <c r="R26" s="79"/>
      <c r="S26" s="79" t="s">
        <v>660</v>
      </c>
      <c r="T26" s="79" t="s">
        <v>671</v>
      </c>
      <c r="U26" s="79"/>
      <c r="V26" s="79"/>
    </row>
    <row r="27" spans="1:22" s="61" customFormat="1" ht="15" customHeight="1" x14ac:dyDescent="0.25">
      <c r="A27" s="79"/>
      <c r="B27" s="79"/>
      <c r="C27" s="79"/>
      <c r="D27" s="79"/>
      <c r="E27" s="79"/>
      <c r="F27" s="79" t="s">
        <v>692</v>
      </c>
      <c r="G27" s="79" t="s">
        <v>693</v>
      </c>
      <c r="H27" s="80" t="s">
        <v>882</v>
      </c>
      <c r="I27" s="79" t="s">
        <v>654</v>
      </c>
      <c r="J27" s="79" t="s">
        <v>97</v>
      </c>
      <c r="K27" s="79"/>
      <c r="L27" s="79" t="s">
        <v>177</v>
      </c>
      <c r="M27" s="79" t="s">
        <v>694</v>
      </c>
      <c r="N27" s="81" t="s">
        <v>327</v>
      </c>
      <c r="O27" s="79" t="s">
        <v>668</v>
      </c>
      <c r="P27" s="79" t="s">
        <v>669</v>
      </c>
      <c r="Q27" s="79"/>
      <c r="R27" s="79"/>
      <c r="S27" s="79" t="s">
        <v>660</v>
      </c>
      <c r="T27" s="79" t="s">
        <v>671</v>
      </c>
      <c r="U27" s="79"/>
      <c r="V27" s="79"/>
    </row>
    <row r="28" spans="1:22" s="61" customFormat="1" ht="15" customHeight="1" x14ac:dyDescent="0.25">
      <c r="A28" s="79"/>
      <c r="B28" s="79"/>
      <c r="C28" s="79"/>
      <c r="D28" s="79"/>
      <c r="E28" s="79"/>
      <c r="F28" s="79" t="s">
        <v>695</v>
      </c>
      <c r="G28" s="79" t="s">
        <v>696</v>
      </c>
      <c r="H28" s="80" t="s">
        <v>886</v>
      </c>
      <c r="I28" s="79" t="s">
        <v>654</v>
      </c>
      <c r="J28" s="79" t="s">
        <v>97</v>
      </c>
      <c r="K28" s="79"/>
      <c r="L28" s="79" t="s">
        <v>177</v>
      </c>
      <c r="M28" s="79" t="s">
        <v>697</v>
      </c>
      <c r="N28" s="81" t="s">
        <v>327</v>
      </c>
      <c r="O28" s="79" t="s">
        <v>668</v>
      </c>
      <c r="P28" s="79" t="s">
        <v>669</v>
      </c>
      <c r="Q28" s="79"/>
      <c r="R28" s="79"/>
      <c r="S28" s="79" t="s">
        <v>660</v>
      </c>
      <c r="T28" s="79" t="s">
        <v>671</v>
      </c>
      <c r="U28" s="79"/>
      <c r="V28" s="79"/>
    </row>
    <row r="29" spans="1:22" s="61" customFormat="1" ht="15" customHeight="1" x14ac:dyDescent="0.25">
      <c r="A29" s="79"/>
      <c r="B29" s="79"/>
      <c r="C29" s="79"/>
      <c r="D29" s="79"/>
      <c r="E29" s="79"/>
      <c r="F29" s="79" t="s">
        <v>698</v>
      </c>
      <c r="G29" s="79" t="s">
        <v>699</v>
      </c>
      <c r="H29" s="80" t="s">
        <v>890</v>
      </c>
      <c r="I29" s="79" t="s">
        <v>654</v>
      </c>
      <c r="J29" s="79" t="s">
        <v>97</v>
      </c>
      <c r="K29" s="79"/>
      <c r="L29" s="79" t="s">
        <v>177</v>
      </c>
      <c r="M29" s="81" t="s">
        <v>700</v>
      </c>
      <c r="N29" s="81" t="s">
        <v>333</v>
      </c>
      <c r="O29" s="79" t="s">
        <v>668</v>
      </c>
      <c r="P29" s="79" t="s">
        <v>669</v>
      </c>
      <c r="Q29" s="79"/>
      <c r="R29" s="79"/>
      <c r="S29" s="79" t="s">
        <v>660</v>
      </c>
      <c r="T29" s="79" t="s">
        <v>671</v>
      </c>
      <c r="U29" s="79"/>
      <c r="V29" s="79"/>
    </row>
    <row r="30" spans="1:22" s="61" customFormat="1" ht="15" customHeight="1" x14ac:dyDescent="0.25">
      <c r="A30" s="79"/>
      <c r="B30" s="79"/>
      <c r="C30" s="79"/>
      <c r="D30" s="79"/>
      <c r="E30" s="79"/>
      <c r="F30" s="79" t="s">
        <v>701</v>
      </c>
      <c r="G30" s="79" t="s">
        <v>702</v>
      </c>
      <c r="H30" s="80" t="s">
        <v>894</v>
      </c>
      <c r="I30" s="79" t="s">
        <v>654</v>
      </c>
      <c r="J30" s="79" t="s">
        <v>97</v>
      </c>
      <c r="K30" s="79"/>
      <c r="L30" s="79" t="s">
        <v>177</v>
      </c>
      <c r="M30" s="81" t="s">
        <v>703</v>
      </c>
      <c r="N30" s="81" t="s">
        <v>333</v>
      </c>
      <c r="O30" s="79" t="s">
        <v>668</v>
      </c>
      <c r="P30" s="79" t="s">
        <v>669</v>
      </c>
      <c r="Q30" s="79"/>
      <c r="R30" s="79"/>
      <c r="S30" s="79" t="s">
        <v>660</v>
      </c>
      <c r="T30" s="79" t="s">
        <v>671</v>
      </c>
      <c r="U30" s="79"/>
      <c r="V30" s="79"/>
    </row>
    <row r="31" spans="1:22" s="61" customFormat="1" ht="15" customHeight="1" x14ac:dyDescent="0.25">
      <c r="A31" s="79"/>
      <c r="B31" s="79"/>
      <c r="C31" s="79"/>
      <c r="D31" s="79"/>
      <c r="E31" s="79"/>
      <c r="F31" s="79" t="s">
        <v>704</v>
      </c>
      <c r="G31" s="79" t="s">
        <v>705</v>
      </c>
      <c r="H31" s="80" t="s">
        <v>897</v>
      </c>
      <c r="I31" s="79" t="s">
        <v>654</v>
      </c>
      <c r="J31" s="79" t="s">
        <v>97</v>
      </c>
      <c r="K31" s="79"/>
      <c r="L31" s="79" t="s">
        <v>177</v>
      </c>
      <c r="M31" s="79" t="s">
        <v>706</v>
      </c>
      <c r="N31" s="81" t="s">
        <v>333</v>
      </c>
      <c r="O31" s="79" t="s">
        <v>668</v>
      </c>
      <c r="P31" s="79" t="s">
        <v>669</v>
      </c>
      <c r="Q31" s="79"/>
      <c r="R31" s="79"/>
      <c r="S31" s="79" t="s">
        <v>660</v>
      </c>
      <c r="T31" s="79" t="s">
        <v>671</v>
      </c>
      <c r="U31" s="79"/>
      <c r="V31" s="79"/>
    </row>
    <row r="32" spans="1:22" s="61" customFormat="1" ht="15" customHeight="1" x14ac:dyDescent="0.25">
      <c r="A32" s="79"/>
      <c r="B32" s="79"/>
      <c r="C32" s="79"/>
      <c r="D32" s="79"/>
      <c r="E32" s="79"/>
      <c r="F32" s="79" t="s">
        <v>707</v>
      </c>
      <c r="G32" s="79" t="s">
        <v>708</v>
      </c>
      <c r="H32" s="80" t="s">
        <v>899</v>
      </c>
      <c r="I32" s="79" t="s">
        <v>654</v>
      </c>
      <c r="J32" s="79" t="s">
        <v>97</v>
      </c>
      <c r="K32" s="79"/>
      <c r="L32" s="79" t="s">
        <v>177</v>
      </c>
      <c r="M32" s="79" t="s">
        <v>709</v>
      </c>
      <c r="N32" s="81" t="s">
        <v>333</v>
      </c>
      <c r="O32" s="79" t="s">
        <v>668</v>
      </c>
      <c r="P32" s="79" t="s">
        <v>669</v>
      </c>
      <c r="Q32" s="79"/>
      <c r="R32" s="79"/>
      <c r="S32" s="79" t="s">
        <v>660</v>
      </c>
      <c r="T32" s="79" t="s">
        <v>671</v>
      </c>
      <c r="U32" s="79"/>
      <c r="V32" s="79"/>
    </row>
    <row r="33" spans="1:22" s="61" customFormat="1" ht="15" customHeight="1" x14ac:dyDescent="0.25">
      <c r="A33" s="79"/>
      <c r="B33" s="79"/>
      <c r="C33" s="79"/>
      <c r="D33" s="79"/>
      <c r="E33" s="79"/>
      <c r="F33" s="79" t="s">
        <v>710</v>
      </c>
      <c r="G33" s="79" t="s">
        <v>711</v>
      </c>
      <c r="H33" s="80" t="s">
        <v>1025</v>
      </c>
      <c r="I33" s="79" t="s">
        <v>654</v>
      </c>
      <c r="J33" s="79" t="s">
        <v>97</v>
      </c>
      <c r="K33" s="79"/>
      <c r="L33" s="79" t="s">
        <v>177</v>
      </c>
      <c r="M33" s="79" t="s">
        <v>712</v>
      </c>
      <c r="N33" s="81" t="s">
        <v>342</v>
      </c>
      <c r="O33" s="79" t="s">
        <v>668</v>
      </c>
      <c r="P33" s="79" t="s">
        <v>669</v>
      </c>
      <c r="Q33" s="79"/>
      <c r="R33" s="79"/>
      <c r="S33" s="79" t="s">
        <v>660</v>
      </c>
      <c r="T33" s="79" t="s">
        <v>671</v>
      </c>
      <c r="U33" s="79"/>
      <c r="V33" s="79"/>
    </row>
    <row r="34" spans="1:22" s="61" customFormat="1" ht="15" customHeight="1" x14ac:dyDescent="0.25">
      <c r="A34" s="79"/>
      <c r="B34" s="79"/>
      <c r="C34" s="79"/>
      <c r="D34" s="79"/>
      <c r="E34" s="79"/>
      <c r="F34" s="79" t="s">
        <v>713</v>
      </c>
      <c r="G34" s="79" t="s">
        <v>714</v>
      </c>
      <c r="H34" s="80" t="s">
        <v>1026</v>
      </c>
      <c r="I34" s="79" t="s">
        <v>654</v>
      </c>
      <c r="J34" s="79" t="s">
        <v>97</v>
      </c>
      <c r="K34" s="79"/>
      <c r="L34" s="79" t="s">
        <v>177</v>
      </c>
      <c r="M34" s="79" t="s">
        <v>715</v>
      </c>
      <c r="N34" s="81" t="s">
        <v>342</v>
      </c>
      <c r="O34" s="79" t="s">
        <v>668</v>
      </c>
      <c r="P34" s="79" t="s">
        <v>669</v>
      </c>
      <c r="Q34" s="79"/>
      <c r="R34" s="79"/>
      <c r="S34" s="79" t="s">
        <v>660</v>
      </c>
      <c r="T34" s="79" t="s">
        <v>671</v>
      </c>
      <c r="U34" s="79"/>
      <c r="V34" s="79"/>
    </row>
    <row r="35" spans="1:22" s="61" customFormat="1" ht="15" customHeight="1" x14ac:dyDescent="0.25">
      <c r="A35" s="79"/>
      <c r="B35" s="79"/>
      <c r="C35" s="79"/>
      <c r="D35" s="79"/>
      <c r="E35" s="79"/>
      <c r="F35" s="79" t="s">
        <v>716</v>
      </c>
      <c r="G35" s="79" t="s">
        <v>717</v>
      </c>
      <c r="H35" s="80" t="s">
        <v>1027</v>
      </c>
      <c r="I35" s="79" t="s">
        <v>654</v>
      </c>
      <c r="J35" s="79" t="s">
        <v>97</v>
      </c>
      <c r="K35" s="79"/>
      <c r="L35" s="79" t="s">
        <v>177</v>
      </c>
      <c r="M35" s="79" t="s">
        <v>718</v>
      </c>
      <c r="N35" s="81" t="s">
        <v>342</v>
      </c>
      <c r="O35" s="79" t="s">
        <v>668</v>
      </c>
      <c r="P35" s="79" t="s">
        <v>669</v>
      </c>
      <c r="Q35" s="79"/>
      <c r="R35" s="79"/>
      <c r="S35" s="79" t="s">
        <v>660</v>
      </c>
      <c r="T35" s="79" t="s">
        <v>671</v>
      </c>
      <c r="U35" s="79"/>
      <c r="V35" s="79"/>
    </row>
    <row r="36" spans="1:22" s="61" customFormat="1" ht="15" customHeight="1" x14ac:dyDescent="0.25">
      <c r="A36" s="79"/>
      <c r="B36" s="79"/>
      <c r="C36" s="79"/>
      <c r="D36" s="79"/>
      <c r="E36" s="79"/>
      <c r="F36" s="79" t="s">
        <v>719</v>
      </c>
      <c r="G36" s="79" t="s">
        <v>720</v>
      </c>
      <c r="H36" s="80" t="s">
        <v>1028</v>
      </c>
      <c r="I36" s="79" t="s">
        <v>654</v>
      </c>
      <c r="J36" s="79" t="s">
        <v>97</v>
      </c>
      <c r="K36" s="79"/>
      <c r="L36" s="79" t="s">
        <v>177</v>
      </c>
      <c r="M36" s="79" t="s">
        <v>721</v>
      </c>
      <c r="N36" s="81" t="s">
        <v>342</v>
      </c>
      <c r="O36" s="79" t="s">
        <v>668</v>
      </c>
      <c r="P36" s="79" t="s">
        <v>669</v>
      </c>
      <c r="Q36" s="79"/>
      <c r="R36" s="79"/>
      <c r="S36" s="79" t="s">
        <v>660</v>
      </c>
      <c r="T36" s="79" t="s">
        <v>671</v>
      </c>
      <c r="U36" s="79"/>
      <c r="V36" s="79"/>
    </row>
    <row r="37" spans="1:22" s="61" customFormat="1" ht="15" customHeight="1" x14ac:dyDescent="0.25">
      <c r="A37" s="79"/>
      <c r="B37" s="79"/>
      <c r="C37" s="79"/>
      <c r="D37" s="79"/>
      <c r="E37" s="79"/>
      <c r="F37" s="79" t="s">
        <v>722</v>
      </c>
      <c r="G37" s="79" t="s">
        <v>723</v>
      </c>
      <c r="H37" s="80" t="s">
        <v>1029</v>
      </c>
      <c r="I37" s="79" t="s">
        <v>654</v>
      </c>
      <c r="J37" s="79" t="s">
        <v>97</v>
      </c>
      <c r="K37" s="79"/>
      <c r="L37" s="79" t="s">
        <v>177</v>
      </c>
      <c r="M37" s="81" t="s">
        <v>724</v>
      </c>
      <c r="N37" s="81" t="s">
        <v>342</v>
      </c>
      <c r="O37" s="79" t="s">
        <v>668</v>
      </c>
      <c r="P37" s="79" t="s">
        <v>669</v>
      </c>
      <c r="Q37" s="79"/>
      <c r="R37" s="79"/>
      <c r="S37" s="79" t="s">
        <v>660</v>
      </c>
      <c r="T37" s="79" t="s">
        <v>671</v>
      </c>
      <c r="U37" s="79"/>
      <c r="V37" s="79"/>
    </row>
    <row r="38" spans="1:22" s="61" customFormat="1" ht="15" customHeight="1" x14ac:dyDescent="0.25">
      <c r="A38" s="79"/>
      <c r="B38" s="79"/>
      <c r="C38" s="79"/>
      <c r="D38" s="79"/>
      <c r="E38" s="79"/>
      <c r="F38" s="79" t="s">
        <v>345</v>
      </c>
      <c r="G38" s="79" t="s">
        <v>725</v>
      </c>
      <c r="H38" s="80" t="s">
        <v>1030</v>
      </c>
      <c r="I38" s="79" t="s">
        <v>654</v>
      </c>
      <c r="J38" s="79" t="s">
        <v>97</v>
      </c>
      <c r="K38" s="79"/>
      <c r="L38" s="79" t="s">
        <v>177</v>
      </c>
      <c r="M38" s="79" t="s">
        <v>347</v>
      </c>
      <c r="N38" s="81" t="s">
        <v>348</v>
      </c>
      <c r="O38" s="79" t="s">
        <v>668</v>
      </c>
      <c r="P38" s="79" t="s">
        <v>669</v>
      </c>
      <c r="Q38" s="79"/>
      <c r="R38" s="79"/>
      <c r="S38" s="79" t="s">
        <v>660</v>
      </c>
      <c r="T38" s="79" t="s">
        <v>671</v>
      </c>
      <c r="U38" s="79"/>
      <c r="V38" s="79"/>
    </row>
    <row r="39" spans="1:22" s="61" customFormat="1" ht="15" customHeight="1" x14ac:dyDescent="0.25">
      <c r="A39" s="79"/>
      <c r="B39" s="79"/>
      <c r="C39" s="79"/>
      <c r="D39" s="79"/>
      <c r="E39" s="79"/>
      <c r="F39" s="79" t="s">
        <v>726</v>
      </c>
      <c r="G39" s="79" t="s">
        <v>727</v>
      </c>
      <c r="H39" s="80" t="s">
        <v>1031</v>
      </c>
      <c r="I39" s="79" t="s">
        <v>654</v>
      </c>
      <c r="J39" s="79" t="s">
        <v>97</v>
      </c>
      <c r="K39" s="79"/>
      <c r="L39" s="79" t="s">
        <v>177</v>
      </c>
      <c r="M39" s="79" t="s">
        <v>728</v>
      </c>
      <c r="N39" s="81" t="s">
        <v>353</v>
      </c>
      <c r="O39" s="79" t="s">
        <v>668</v>
      </c>
      <c r="P39" s="79" t="s">
        <v>669</v>
      </c>
      <c r="Q39" s="79"/>
      <c r="R39" s="79"/>
      <c r="S39" s="79" t="s">
        <v>660</v>
      </c>
      <c r="T39" s="79" t="s">
        <v>671</v>
      </c>
      <c r="U39" s="79"/>
      <c r="V39" s="79"/>
    </row>
    <row r="40" spans="1:22" s="61" customFormat="1" ht="15" customHeight="1" x14ac:dyDescent="0.25">
      <c r="A40" s="79"/>
      <c r="B40" s="79"/>
      <c r="C40" s="79"/>
      <c r="D40" s="79"/>
      <c r="E40" s="79"/>
      <c r="F40" s="79" t="s">
        <v>729</v>
      </c>
      <c r="G40" s="79" t="s">
        <v>730</v>
      </c>
      <c r="H40" s="80" t="s">
        <v>1032</v>
      </c>
      <c r="I40" s="79" t="s">
        <v>654</v>
      </c>
      <c r="J40" s="79" t="s">
        <v>97</v>
      </c>
      <c r="K40" s="79"/>
      <c r="L40" s="79" t="s">
        <v>177</v>
      </c>
      <c r="M40" s="79" t="s">
        <v>731</v>
      </c>
      <c r="N40" s="81" t="s">
        <v>353</v>
      </c>
      <c r="O40" s="79" t="s">
        <v>668</v>
      </c>
      <c r="P40" s="79" t="s">
        <v>669</v>
      </c>
      <c r="Q40" s="79"/>
      <c r="R40" s="79"/>
      <c r="S40" s="79" t="s">
        <v>660</v>
      </c>
      <c r="T40" s="79" t="s">
        <v>671</v>
      </c>
      <c r="U40" s="79"/>
      <c r="V40" s="79"/>
    </row>
    <row r="41" spans="1:22" s="61" customFormat="1" ht="15" customHeight="1" x14ac:dyDescent="0.25">
      <c r="A41" s="79"/>
      <c r="B41" s="79"/>
      <c r="C41" s="79"/>
      <c r="D41" s="79"/>
      <c r="E41" s="79"/>
      <c r="F41" s="79" t="s">
        <v>732</v>
      </c>
      <c r="G41" s="79" t="s">
        <v>733</v>
      </c>
      <c r="H41" s="80" t="s">
        <v>1033</v>
      </c>
      <c r="I41" s="79" t="s">
        <v>654</v>
      </c>
      <c r="J41" s="79" t="s">
        <v>97</v>
      </c>
      <c r="K41" s="79"/>
      <c r="L41" s="79" t="s">
        <v>177</v>
      </c>
      <c r="M41" s="79" t="s">
        <v>734</v>
      </c>
      <c r="N41" s="81" t="s">
        <v>353</v>
      </c>
      <c r="O41" s="79" t="s">
        <v>668</v>
      </c>
      <c r="P41" s="79" t="s">
        <v>669</v>
      </c>
      <c r="Q41" s="79"/>
      <c r="R41" s="79"/>
      <c r="S41" s="79" t="s">
        <v>660</v>
      </c>
      <c r="T41" s="79" t="s">
        <v>671</v>
      </c>
      <c r="U41" s="79"/>
      <c r="V41" s="79"/>
    </row>
    <row r="42" spans="1:22" s="61" customFormat="1" ht="15" customHeight="1" x14ac:dyDescent="0.25">
      <c r="A42" s="79"/>
      <c r="B42" s="79"/>
      <c r="C42" s="79"/>
      <c r="D42" s="79"/>
      <c r="E42" s="79"/>
      <c r="F42" s="79" t="s">
        <v>360</v>
      </c>
      <c r="G42" s="79" t="s">
        <v>735</v>
      </c>
      <c r="H42" s="80" t="s">
        <v>1034</v>
      </c>
      <c r="I42" s="79" t="s">
        <v>654</v>
      </c>
      <c r="J42" s="79" t="s">
        <v>97</v>
      </c>
      <c r="K42" s="79"/>
      <c r="L42" s="79" t="s">
        <v>177</v>
      </c>
      <c r="M42" s="79" t="s">
        <v>362</v>
      </c>
      <c r="N42" s="81" t="s">
        <v>363</v>
      </c>
      <c r="O42" s="79" t="s">
        <v>668</v>
      </c>
      <c r="P42" s="79" t="s">
        <v>669</v>
      </c>
      <c r="Q42" s="79"/>
      <c r="R42" s="79"/>
      <c r="S42" s="79" t="s">
        <v>660</v>
      </c>
      <c r="T42" s="79" t="s">
        <v>671</v>
      </c>
      <c r="U42" s="79"/>
      <c r="V42" s="79"/>
    </row>
    <row r="43" spans="1:22" s="61" customFormat="1" ht="15" customHeight="1" x14ac:dyDescent="0.25">
      <c r="A43" s="79"/>
      <c r="B43" s="79"/>
      <c r="C43" s="79"/>
      <c r="D43" s="79"/>
      <c r="E43" s="79"/>
      <c r="F43" s="79" t="s">
        <v>736</v>
      </c>
      <c r="G43" s="79" t="s">
        <v>737</v>
      </c>
      <c r="H43" s="80" t="s">
        <v>1035</v>
      </c>
      <c r="I43" s="79" t="s">
        <v>654</v>
      </c>
      <c r="J43" s="79" t="s">
        <v>98</v>
      </c>
      <c r="K43" s="79"/>
      <c r="L43" s="79" t="s">
        <v>177</v>
      </c>
      <c r="M43" s="79" t="s">
        <v>738</v>
      </c>
      <c r="N43" s="81" t="s">
        <v>367</v>
      </c>
      <c r="O43" s="79" t="s">
        <v>668</v>
      </c>
      <c r="P43" s="79" t="s">
        <v>669</v>
      </c>
      <c r="Q43" s="79"/>
      <c r="R43" s="79"/>
      <c r="S43" s="79" t="s">
        <v>660</v>
      </c>
      <c r="T43" s="79" t="s">
        <v>671</v>
      </c>
      <c r="U43" s="79"/>
      <c r="V43" s="79"/>
    </row>
    <row r="44" spans="1:22" s="61" customFormat="1" ht="15" customHeight="1" x14ac:dyDescent="0.25">
      <c r="A44" s="79"/>
      <c r="B44" s="79"/>
      <c r="C44" s="79"/>
      <c r="D44" s="79"/>
      <c r="E44" s="79"/>
      <c r="F44" s="79" t="s">
        <v>739</v>
      </c>
      <c r="G44" s="79" t="s">
        <v>740</v>
      </c>
      <c r="H44" s="80" t="s">
        <v>1036</v>
      </c>
      <c r="I44" s="79" t="s">
        <v>654</v>
      </c>
      <c r="J44" s="79" t="s">
        <v>98</v>
      </c>
      <c r="K44" s="79"/>
      <c r="L44" s="79" t="s">
        <v>177</v>
      </c>
      <c r="M44" s="79" t="s">
        <v>741</v>
      </c>
      <c r="N44" s="81" t="s">
        <v>367</v>
      </c>
      <c r="O44" s="79" t="s">
        <v>668</v>
      </c>
      <c r="P44" s="79" t="s">
        <v>669</v>
      </c>
      <c r="Q44" s="79"/>
      <c r="R44" s="79"/>
      <c r="S44" s="79" t="s">
        <v>660</v>
      </c>
      <c r="T44" s="79" t="s">
        <v>671</v>
      </c>
      <c r="U44" s="79"/>
      <c r="V44" s="79"/>
    </row>
    <row r="45" spans="1:22" s="61" customFormat="1" ht="15" customHeight="1" x14ac:dyDescent="0.25">
      <c r="A45" s="79"/>
      <c r="B45" s="79"/>
      <c r="C45" s="79"/>
      <c r="D45" s="79"/>
      <c r="E45" s="79"/>
      <c r="F45" s="79" t="s">
        <v>368</v>
      </c>
      <c r="G45" s="79" t="s">
        <v>742</v>
      </c>
      <c r="H45" s="80" t="s">
        <v>1037</v>
      </c>
      <c r="I45" s="79" t="s">
        <v>654</v>
      </c>
      <c r="J45" s="79" t="s">
        <v>98</v>
      </c>
      <c r="K45" s="79"/>
      <c r="L45" s="79" t="s">
        <v>177</v>
      </c>
      <c r="M45" s="79" t="s">
        <v>369</v>
      </c>
      <c r="N45" s="81" t="s">
        <v>370</v>
      </c>
      <c r="O45" s="79" t="s">
        <v>668</v>
      </c>
      <c r="P45" s="79" t="s">
        <v>669</v>
      </c>
      <c r="Q45" s="79"/>
      <c r="R45" s="79"/>
      <c r="S45" s="79" t="s">
        <v>660</v>
      </c>
      <c r="T45" s="79" t="s">
        <v>671</v>
      </c>
      <c r="U45" s="79"/>
      <c r="V45" s="79"/>
    </row>
    <row r="46" spans="1:22" s="61" customFormat="1" ht="15" customHeight="1" x14ac:dyDescent="0.25">
      <c r="A46" s="79"/>
      <c r="B46" s="79"/>
      <c r="C46" s="79"/>
      <c r="D46" s="79"/>
      <c r="E46" s="79"/>
      <c r="F46" s="79" t="s">
        <v>743</v>
      </c>
      <c r="G46" s="79" t="s">
        <v>744</v>
      </c>
      <c r="H46" s="80" t="s">
        <v>1038</v>
      </c>
      <c r="I46" s="79" t="s">
        <v>656</v>
      </c>
      <c r="J46" s="79" t="s">
        <v>98</v>
      </c>
      <c r="K46" s="79"/>
      <c r="L46" s="79" t="s">
        <v>177</v>
      </c>
      <c r="M46" s="79" t="s">
        <v>745</v>
      </c>
      <c r="N46" s="81" t="s">
        <v>746</v>
      </c>
      <c r="O46" s="79" t="s">
        <v>668</v>
      </c>
      <c r="P46" s="79" t="s">
        <v>669</v>
      </c>
      <c r="Q46" s="79"/>
      <c r="R46" s="79"/>
      <c r="S46" s="79" t="s">
        <v>662</v>
      </c>
      <c r="T46" s="79" t="s">
        <v>747</v>
      </c>
      <c r="U46" s="79"/>
      <c r="V46" s="79"/>
    </row>
    <row r="47" spans="1:22" s="61" customFormat="1" ht="15" customHeight="1" x14ac:dyDescent="0.25">
      <c r="A47" s="79"/>
      <c r="B47" s="79"/>
      <c r="C47" s="79"/>
      <c r="D47" s="79"/>
      <c r="E47" s="79"/>
      <c r="F47" s="79" t="s">
        <v>748</v>
      </c>
      <c r="G47" s="79" t="s">
        <v>749</v>
      </c>
      <c r="H47" s="80" t="s">
        <v>1039</v>
      </c>
      <c r="I47" s="79" t="s">
        <v>656</v>
      </c>
      <c r="J47" s="79" t="s">
        <v>98</v>
      </c>
      <c r="K47" s="79"/>
      <c r="L47" s="79" t="s">
        <v>177</v>
      </c>
      <c r="M47" s="79" t="s">
        <v>750</v>
      </c>
      <c r="N47" s="81" t="s">
        <v>751</v>
      </c>
      <c r="O47" s="79" t="s">
        <v>668</v>
      </c>
      <c r="P47" s="79" t="s">
        <v>669</v>
      </c>
      <c r="Q47" s="79"/>
      <c r="R47" s="79"/>
      <c r="S47" s="79" t="s">
        <v>662</v>
      </c>
      <c r="T47" s="79" t="s">
        <v>747</v>
      </c>
      <c r="U47" s="79"/>
      <c r="V47" s="79"/>
    </row>
    <row r="48" spans="1:22" s="61" customFormat="1" ht="15" customHeight="1" x14ac:dyDescent="0.25">
      <c r="A48" s="79"/>
      <c r="B48" s="79"/>
      <c r="C48" s="79"/>
      <c r="D48" s="79"/>
      <c r="E48" s="79"/>
      <c r="F48" s="79" t="s">
        <v>752</v>
      </c>
      <c r="G48" s="79" t="s">
        <v>753</v>
      </c>
      <c r="H48" s="80" t="s">
        <v>1040</v>
      </c>
      <c r="I48" s="79" t="s">
        <v>656</v>
      </c>
      <c r="J48" s="79" t="s">
        <v>98</v>
      </c>
      <c r="K48" s="79"/>
      <c r="L48" s="79" t="s">
        <v>177</v>
      </c>
      <c r="M48" s="79" t="s">
        <v>754</v>
      </c>
      <c r="N48" s="81" t="s">
        <v>755</v>
      </c>
      <c r="O48" s="79" t="s">
        <v>668</v>
      </c>
      <c r="P48" s="79" t="s">
        <v>669</v>
      </c>
      <c r="Q48" s="79"/>
      <c r="R48" s="79"/>
      <c r="S48" s="79" t="s">
        <v>662</v>
      </c>
      <c r="T48" s="79" t="s">
        <v>747</v>
      </c>
      <c r="U48" s="79"/>
      <c r="V48" s="79"/>
    </row>
    <row r="49" spans="1:22" s="61" customFormat="1" ht="15" customHeight="1" x14ac:dyDescent="0.25">
      <c r="A49" s="79"/>
      <c r="B49" s="79"/>
      <c r="C49" s="79"/>
      <c r="D49" s="79"/>
      <c r="E49" s="79"/>
      <c r="F49" s="79" t="s">
        <v>756</v>
      </c>
      <c r="G49" s="79" t="s">
        <v>757</v>
      </c>
      <c r="H49" s="80" t="s">
        <v>1041</v>
      </c>
      <c r="I49" s="79" t="s">
        <v>656</v>
      </c>
      <c r="J49" s="79" t="s">
        <v>98</v>
      </c>
      <c r="K49" s="79"/>
      <c r="L49" s="79" t="s">
        <v>177</v>
      </c>
      <c r="M49" s="79" t="s">
        <v>758</v>
      </c>
      <c r="N49" s="81" t="s">
        <v>759</v>
      </c>
      <c r="O49" s="79" t="s">
        <v>668</v>
      </c>
      <c r="P49" s="79" t="s">
        <v>669</v>
      </c>
      <c r="Q49" s="79"/>
      <c r="R49" s="79"/>
      <c r="S49" s="79" t="s">
        <v>662</v>
      </c>
      <c r="T49" s="79" t="s">
        <v>747</v>
      </c>
      <c r="U49" s="79"/>
      <c r="V49" s="79"/>
    </row>
    <row r="50" spans="1:22" s="61" customFormat="1" ht="15" customHeight="1" x14ac:dyDescent="0.25">
      <c r="A50" s="79"/>
      <c r="B50" s="79"/>
      <c r="C50" s="79"/>
      <c r="D50" s="79"/>
      <c r="E50" s="79"/>
      <c r="F50" s="79" t="s">
        <v>377</v>
      </c>
      <c r="G50" s="79" t="s">
        <v>760</v>
      </c>
      <c r="H50" s="80" t="s">
        <v>1042</v>
      </c>
      <c r="I50" s="79" t="s">
        <v>656</v>
      </c>
      <c r="J50" s="79" t="s">
        <v>98</v>
      </c>
      <c r="K50" s="79"/>
      <c r="L50" s="79" t="s">
        <v>261</v>
      </c>
      <c r="M50" s="79" t="s">
        <v>379</v>
      </c>
      <c r="N50" s="81" t="s">
        <v>380</v>
      </c>
      <c r="O50" s="79" t="s">
        <v>668</v>
      </c>
      <c r="P50" s="79" t="s">
        <v>669</v>
      </c>
      <c r="Q50" s="79"/>
      <c r="R50" s="79"/>
      <c r="S50" s="79" t="s">
        <v>662</v>
      </c>
      <c r="T50" s="79" t="s">
        <v>747</v>
      </c>
      <c r="U50" s="79"/>
      <c r="V50" s="79"/>
    </row>
    <row r="51" spans="1:22" s="61" customFormat="1" ht="15" customHeight="1" x14ac:dyDescent="0.25">
      <c r="A51" s="79"/>
      <c r="B51" s="79"/>
      <c r="C51" s="79"/>
      <c r="D51" s="79"/>
      <c r="E51" s="79"/>
      <c r="F51" s="79" t="s">
        <v>383</v>
      </c>
      <c r="G51" s="79" t="s">
        <v>762</v>
      </c>
      <c r="H51" s="80" t="s">
        <v>1043</v>
      </c>
      <c r="I51" s="79" t="s">
        <v>656</v>
      </c>
      <c r="J51" s="79" t="s">
        <v>98</v>
      </c>
      <c r="K51" s="79"/>
      <c r="L51" s="79" t="s">
        <v>261</v>
      </c>
      <c r="M51" s="79" t="s">
        <v>763</v>
      </c>
      <c r="N51" s="81" t="s">
        <v>386</v>
      </c>
      <c r="O51" s="79" t="s">
        <v>668</v>
      </c>
      <c r="P51" s="79" t="s">
        <v>669</v>
      </c>
      <c r="Q51" s="79"/>
      <c r="R51" s="79"/>
      <c r="S51" s="79" t="s">
        <v>662</v>
      </c>
      <c r="T51" s="79" t="s">
        <v>747</v>
      </c>
      <c r="U51" s="79"/>
      <c r="V51" s="79"/>
    </row>
    <row r="52" spans="1:22" s="61" customFormat="1" ht="15" customHeight="1" x14ac:dyDescent="0.25">
      <c r="A52" s="79"/>
      <c r="B52" s="79"/>
      <c r="C52" s="79"/>
      <c r="D52" s="79"/>
      <c r="E52" s="79"/>
      <c r="F52" s="79" t="s">
        <v>389</v>
      </c>
      <c r="G52" s="79" t="s">
        <v>765</v>
      </c>
      <c r="H52" s="80" t="s">
        <v>1044</v>
      </c>
      <c r="I52" s="79" t="s">
        <v>656</v>
      </c>
      <c r="J52" s="79" t="s">
        <v>98</v>
      </c>
      <c r="K52" s="79"/>
      <c r="L52" s="79" t="s">
        <v>261</v>
      </c>
      <c r="M52" s="79" t="s">
        <v>766</v>
      </c>
      <c r="N52" s="81" t="s">
        <v>392</v>
      </c>
      <c r="O52" s="79" t="s">
        <v>668</v>
      </c>
      <c r="P52" s="79" t="s">
        <v>669</v>
      </c>
      <c r="Q52" s="79"/>
      <c r="R52" s="79"/>
      <c r="S52" s="79" t="s">
        <v>662</v>
      </c>
      <c r="T52" s="79" t="s">
        <v>747</v>
      </c>
      <c r="U52" s="79"/>
      <c r="V52" s="79"/>
    </row>
    <row r="53" spans="1:22" s="61" customFormat="1" ht="15" customHeight="1" x14ac:dyDescent="0.25">
      <c r="A53" s="79"/>
      <c r="B53" s="79"/>
      <c r="C53" s="79"/>
      <c r="D53" s="79"/>
      <c r="E53" s="79" t="s">
        <v>47</v>
      </c>
      <c r="F53" s="79"/>
      <c r="G53" s="79"/>
      <c r="H53" s="80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2" s="61" customFormat="1" ht="15" customHeight="1" x14ac:dyDescent="0.25">
      <c r="A54" s="79"/>
      <c r="B54" s="79"/>
      <c r="C54" s="79"/>
      <c r="D54" s="79"/>
      <c r="E54" s="79"/>
      <c r="F54" s="79" t="s">
        <v>767</v>
      </c>
      <c r="G54" s="79" t="s">
        <v>768</v>
      </c>
      <c r="H54" s="80" t="s">
        <v>1045</v>
      </c>
      <c r="I54" s="79" t="s">
        <v>654</v>
      </c>
      <c r="J54" s="79" t="s">
        <v>97</v>
      </c>
      <c r="K54" s="79"/>
      <c r="L54" s="79" t="s">
        <v>177</v>
      </c>
      <c r="M54" s="79" t="s">
        <v>769</v>
      </c>
      <c r="N54" s="81" t="s">
        <v>424</v>
      </c>
      <c r="O54" s="79" t="s">
        <v>668</v>
      </c>
      <c r="P54" s="79" t="s">
        <v>669</v>
      </c>
      <c r="Q54" s="79"/>
      <c r="R54" s="79" t="s">
        <v>670</v>
      </c>
      <c r="S54" s="79" t="s">
        <v>660</v>
      </c>
      <c r="T54" s="79" t="s">
        <v>671</v>
      </c>
      <c r="U54" s="79"/>
      <c r="V54" s="79"/>
    </row>
    <row r="55" spans="1:22" s="61" customFormat="1" ht="15" customHeight="1" x14ac:dyDescent="0.25">
      <c r="A55" s="79"/>
      <c r="B55" s="79"/>
      <c r="C55" s="79"/>
      <c r="D55" s="79"/>
      <c r="E55" s="79"/>
      <c r="F55" s="79" t="s">
        <v>770</v>
      </c>
      <c r="G55" s="79" t="s">
        <v>771</v>
      </c>
      <c r="H55" s="80" t="s">
        <v>907</v>
      </c>
      <c r="I55" s="79" t="s">
        <v>654</v>
      </c>
      <c r="J55" s="79" t="s">
        <v>98</v>
      </c>
      <c r="K55" s="79"/>
      <c r="L55" s="79" t="s">
        <v>177</v>
      </c>
      <c r="M55" s="79" t="s">
        <v>772</v>
      </c>
      <c r="N55" s="81" t="s">
        <v>424</v>
      </c>
      <c r="O55" s="79" t="s">
        <v>668</v>
      </c>
      <c r="P55" s="79" t="s">
        <v>669</v>
      </c>
      <c r="Q55" s="79"/>
      <c r="R55" s="79"/>
      <c r="S55" s="79" t="s">
        <v>660</v>
      </c>
      <c r="T55" s="79" t="s">
        <v>671</v>
      </c>
      <c r="U55" s="79"/>
      <c r="V55" s="79"/>
    </row>
    <row r="56" spans="1:22" s="61" customFormat="1" ht="15" customHeight="1" x14ac:dyDescent="0.25">
      <c r="A56" s="79"/>
      <c r="B56" s="79"/>
      <c r="C56" s="79"/>
      <c r="D56" s="79"/>
      <c r="E56" s="79"/>
      <c r="F56" s="79" t="s">
        <v>773</v>
      </c>
      <c r="G56" s="79" t="s">
        <v>774</v>
      </c>
      <c r="H56" s="80" t="s">
        <v>910</v>
      </c>
      <c r="I56" s="79" t="s">
        <v>654</v>
      </c>
      <c r="J56" s="79" t="s">
        <v>97</v>
      </c>
      <c r="K56" s="79"/>
      <c r="L56" s="79" t="s">
        <v>177</v>
      </c>
      <c r="M56" s="79" t="s">
        <v>775</v>
      </c>
      <c r="N56" s="81" t="s">
        <v>424</v>
      </c>
      <c r="O56" s="79" t="s">
        <v>668</v>
      </c>
      <c r="P56" s="79" t="s">
        <v>669</v>
      </c>
      <c r="Q56" s="79"/>
      <c r="R56" s="79"/>
      <c r="S56" s="79" t="s">
        <v>660</v>
      </c>
      <c r="T56" s="79" t="s">
        <v>671</v>
      </c>
      <c r="U56" s="79"/>
      <c r="V56" s="79"/>
    </row>
    <row r="57" spans="1:22" s="61" customFormat="1" ht="15" customHeight="1" x14ac:dyDescent="0.25">
      <c r="A57" s="79"/>
      <c r="B57" s="79"/>
      <c r="C57" s="79"/>
      <c r="D57" s="79"/>
      <c r="E57" s="79"/>
      <c r="F57" s="79" t="s">
        <v>776</v>
      </c>
      <c r="G57" s="79" t="s">
        <v>777</v>
      </c>
      <c r="H57" s="80" t="s">
        <v>912</v>
      </c>
      <c r="I57" s="79" t="s">
        <v>654</v>
      </c>
      <c r="J57" s="79" t="s">
        <v>98</v>
      </c>
      <c r="K57" s="79"/>
      <c r="L57" s="79" t="s">
        <v>177</v>
      </c>
      <c r="M57" s="79" t="s">
        <v>778</v>
      </c>
      <c r="N57" s="81" t="s">
        <v>424</v>
      </c>
      <c r="O57" s="79" t="s">
        <v>668</v>
      </c>
      <c r="P57" s="79" t="s">
        <v>669</v>
      </c>
      <c r="Q57" s="79"/>
      <c r="R57" s="79"/>
      <c r="S57" s="79" t="s">
        <v>660</v>
      </c>
      <c r="T57" s="79" t="s">
        <v>671</v>
      </c>
      <c r="U57" s="79"/>
      <c r="V57" s="79"/>
    </row>
    <row r="58" spans="1:22" s="61" customFormat="1" ht="15" customHeight="1" x14ac:dyDescent="0.25">
      <c r="A58" s="79"/>
      <c r="B58" s="79"/>
      <c r="C58" s="79"/>
      <c r="D58" s="79"/>
      <c r="E58" s="79"/>
      <c r="F58" s="79" t="s">
        <v>427</v>
      </c>
      <c r="G58" s="79" t="s">
        <v>779</v>
      </c>
      <c r="H58" s="80" t="s">
        <v>915</v>
      </c>
      <c r="I58" s="79" t="s">
        <v>655</v>
      </c>
      <c r="J58" s="79" t="s">
        <v>97</v>
      </c>
      <c r="K58" s="79"/>
      <c r="L58" s="79" t="s">
        <v>177</v>
      </c>
      <c r="M58" s="79" t="s">
        <v>429</v>
      </c>
      <c r="N58" s="81" t="s">
        <v>430</v>
      </c>
      <c r="O58" s="79" t="s">
        <v>668</v>
      </c>
      <c r="P58" s="79" t="s">
        <v>669</v>
      </c>
      <c r="Q58" s="79"/>
      <c r="R58" s="79"/>
      <c r="S58" s="79" t="s">
        <v>660</v>
      </c>
      <c r="T58" s="79" t="s">
        <v>671</v>
      </c>
      <c r="U58" s="79"/>
      <c r="V58" s="79"/>
    </row>
    <row r="59" spans="1:22" s="61" customFormat="1" ht="15" customHeight="1" x14ac:dyDescent="0.25">
      <c r="A59" s="79"/>
      <c r="B59" s="79"/>
      <c r="C59" s="79"/>
      <c r="D59" s="79"/>
      <c r="E59" s="79"/>
      <c r="F59" s="79" t="s">
        <v>780</v>
      </c>
      <c r="G59" s="79" t="s">
        <v>781</v>
      </c>
      <c r="H59" s="80" t="s">
        <v>919</v>
      </c>
      <c r="I59" s="79" t="s">
        <v>657</v>
      </c>
      <c r="J59" s="79" t="s">
        <v>98</v>
      </c>
      <c r="K59" s="79"/>
      <c r="L59" s="79" t="s">
        <v>177</v>
      </c>
      <c r="M59" s="79" t="s">
        <v>782</v>
      </c>
      <c r="N59" s="81" t="s">
        <v>436</v>
      </c>
      <c r="O59" s="79" t="s">
        <v>668</v>
      </c>
      <c r="P59" s="79" t="s">
        <v>669</v>
      </c>
      <c r="Q59" s="79"/>
      <c r="R59" s="79"/>
      <c r="S59" s="79" t="s">
        <v>661</v>
      </c>
      <c r="T59" s="79" t="s">
        <v>747</v>
      </c>
      <c r="U59" s="79"/>
      <c r="V59" s="79"/>
    </row>
    <row r="60" spans="1:22" s="61" customFormat="1" ht="15" customHeight="1" x14ac:dyDescent="0.25">
      <c r="A60" s="79"/>
      <c r="B60" s="79"/>
      <c r="C60" s="79"/>
      <c r="D60" s="79"/>
      <c r="E60" s="79"/>
      <c r="F60" s="79" t="s">
        <v>783</v>
      </c>
      <c r="G60" s="79" t="s">
        <v>784</v>
      </c>
      <c r="H60" s="80" t="s">
        <v>923</v>
      </c>
      <c r="I60" s="79" t="s">
        <v>657</v>
      </c>
      <c r="J60" s="79" t="s">
        <v>98</v>
      </c>
      <c r="K60" s="79"/>
      <c r="L60" s="79" t="s">
        <v>177</v>
      </c>
      <c r="M60" s="79" t="s">
        <v>785</v>
      </c>
      <c r="N60" s="81" t="s">
        <v>436</v>
      </c>
      <c r="O60" s="79" t="s">
        <v>668</v>
      </c>
      <c r="P60" s="79" t="s">
        <v>669</v>
      </c>
      <c r="Q60" s="79"/>
      <c r="R60" s="79"/>
      <c r="S60" s="79" t="s">
        <v>661</v>
      </c>
      <c r="T60" s="79" t="s">
        <v>747</v>
      </c>
      <c r="U60" s="79"/>
      <c r="V60" s="79"/>
    </row>
    <row r="61" spans="1:22" s="61" customFormat="1" ht="15" customHeight="1" x14ac:dyDescent="0.25">
      <c r="A61" s="79"/>
      <c r="B61" s="79"/>
      <c r="C61" s="79"/>
      <c r="D61" s="79"/>
      <c r="E61" s="79"/>
      <c r="F61" s="79" t="s">
        <v>439</v>
      </c>
      <c r="G61" s="79" t="s">
        <v>786</v>
      </c>
      <c r="H61" s="80" t="s">
        <v>927</v>
      </c>
      <c r="I61" s="79" t="s">
        <v>657</v>
      </c>
      <c r="J61" s="79" t="s">
        <v>98</v>
      </c>
      <c r="K61" s="79"/>
      <c r="L61" s="79" t="s">
        <v>177</v>
      </c>
      <c r="M61" s="79" t="s">
        <v>441</v>
      </c>
      <c r="N61" s="81" t="s">
        <v>442</v>
      </c>
      <c r="O61" s="79" t="s">
        <v>668</v>
      </c>
      <c r="P61" s="79" t="s">
        <v>669</v>
      </c>
      <c r="Q61" s="79"/>
      <c r="R61" s="79"/>
      <c r="S61" s="79" t="s">
        <v>661</v>
      </c>
      <c r="T61" s="79" t="s">
        <v>747</v>
      </c>
      <c r="U61" s="79"/>
      <c r="V61" s="79"/>
    </row>
    <row r="62" spans="1:22" s="61" customFormat="1" ht="15" customHeight="1" x14ac:dyDescent="0.25">
      <c r="A62" s="79"/>
      <c r="B62" s="79"/>
      <c r="C62" s="79"/>
      <c r="D62" s="79" t="s">
        <v>54</v>
      </c>
      <c r="E62" s="79"/>
      <c r="F62" s="79"/>
      <c r="G62" s="79"/>
      <c r="H62" s="80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spans="1:22" s="61" customFormat="1" ht="15" customHeight="1" x14ac:dyDescent="0.25">
      <c r="A63" s="79"/>
      <c r="B63" s="79"/>
      <c r="C63" s="79"/>
      <c r="D63" s="79"/>
      <c r="E63" s="79" t="s">
        <v>55</v>
      </c>
      <c r="F63" s="79"/>
      <c r="G63" s="79"/>
      <c r="H63" s="80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spans="1:22" s="61" customFormat="1" ht="15" customHeight="1" x14ac:dyDescent="0.25">
      <c r="A64" s="79"/>
      <c r="B64" s="79"/>
      <c r="C64" s="79"/>
      <c r="D64" s="79"/>
      <c r="E64" s="79"/>
      <c r="F64" s="79" t="s">
        <v>787</v>
      </c>
      <c r="G64" s="79" t="s">
        <v>788</v>
      </c>
      <c r="H64" s="80" t="s">
        <v>1046</v>
      </c>
      <c r="I64" s="79" t="s">
        <v>654</v>
      </c>
      <c r="J64" s="79" t="s">
        <v>97</v>
      </c>
      <c r="K64" s="79"/>
      <c r="L64" s="79" t="s">
        <v>462</v>
      </c>
      <c r="M64" s="79" t="s">
        <v>789</v>
      </c>
      <c r="N64" s="81" t="s">
        <v>464</v>
      </c>
      <c r="O64" s="79" t="s">
        <v>668</v>
      </c>
      <c r="P64" s="79" t="s">
        <v>669</v>
      </c>
      <c r="Q64" s="79"/>
      <c r="R64" s="79" t="s">
        <v>670</v>
      </c>
      <c r="S64" s="79" t="s">
        <v>660</v>
      </c>
      <c r="T64" s="79" t="s">
        <v>671</v>
      </c>
      <c r="U64" s="79"/>
      <c r="V64" s="79"/>
    </row>
    <row r="65" spans="1:22" s="61" customFormat="1" ht="15" customHeight="1" x14ac:dyDescent="0.25">
      <c r="A65" s="79"/>
      <c r="B65" s="79"/>
      <c r="C65" s="79"/>
      <c r="D65" s="79"/>
      <c r="E65" s="79"/>
      <c r="F65" s="79" t="s">
        <v>790</v>
      </c>
      <c r="G65" s="79" t="s">
        <v>791</v>
      </c>
      <c r="H65" s="80" t="s">
        <v>1047</v>
      </c>
      <c r="I65" s="79" t="s">
        <v>654</v>
      </c>
      <c r="J65" s="79" t="s">
        <v>98</v>
      </c>
      <c r="K65" s="79"/>
      <c r="L65" s="79" t="s">
        <v>462</v>
      </c>
      <c r="M65" s="79" t="s">
        <v>792</v>
      </c>
      <c r="N65" s="81" t="s">
        <v>464</v>
      </c>
      <c r="O65" s="79" t="s">
        <v>668</v>
      </c>
      <c r="P65" s="79" t="s">
        <v>669</v>
      </c>
      <c r="Q65" s="79"/>
      <c r="R65" s="79"/>
      <c r="S65" s="79" t="s">
        <v>660</v>
      </c>
      <c r="T65" s="79" t="s">
        <v>671</v>
      </c>
      <c r="U65" s="79"/>
      <c r="V65" s="79"/>
    </row>
    <row r="66" spans="1:22" s="61" customFormat="1" ht="15" customHeight="1" x14ac:dyDescent="0.25">
      <c r="A66" s="79"/>
      <c r="B66" s="79"/>
      <c r="C66" s="79"/>
      <c r="D66" s="79"/>
      <c r="E66" s="79"/>
      <c r="F66" s="79" t="s">
        <v>793</v>
      </c>
      <c r="G66" s="79" t="s">
        <v>794</v>
      </c>
      <c r="H66" s="80" t="s">
        <v>1048</v>
      </c>
      <c r="I66" s="79" t="s">
        <v>654</v>
      </c>
      <c r="J66" s="79" t="s">
        <v>98</v>
      </c>
      <c r="K66" s="79"/>
      <c r="L66" s="79" t="s">
        <v>462</v>
      </c>
      <c r="M66" s="79" t="s">
        <v>795</v>
      </c>
      <c r="N66" s="81" t="s">
        <v>464</v>
      </c>
      <c r="O66" s="79" t="s">
        <v>668</v>
      </c>
      <c r="P66" s="79" t="s">
        <v>669</v>
      </c>
      <c r="Q66" s="79"/>
      <c r="R66" s="79"/>
      <c r="S66" s="79" t="s">
        <v>660</v>
      </c>
      <c r="T66" s="79" t="s">
        <v>671</v>
      </c>
      <c r="U66" s="79"/>
      <c r="V66" s="79"/>
    </row>
    <row r="67" spans="1:22" s="61" customFormat="1" ht="15" customHeight="1" x14ac:dyDescent="0.25">
      <c r="A67" s="79"/>
      <c r="B67" s="79"/>
      <c r="C67" s="79"/>
      <c r="D67" s="79"/>
      <c r="E67" s="79"/>
      <c r="F67" s="79" t="s">
        <v>796</v>
      </c>
      <c r="G67" s="79" t="s">
        <v>797</v>
      </c>
      <c r="H67" s="80" t="s">
        <v>1049</v>
      </c>
      <c r="I67" s="79" t="s">
        <v>654</v>
      </c>
      <c r="J67" s="79" t="s">
        <v>97</v>
      </c>
      <c r="K67" s="79"/>
      <c r="L67" s="79" t="s">
        <v>462</v>
      </c>
      <c r="M67" s="79" t="s">
        <v>798</v>
      </c>
      <c r="N67" s="81" t="s">
        <v>464</v>
      </c>
      <c r="O67" s="79" t="s">
        <v>668</v>
      </c>
      <c r="P67" s="79" t="s">
        <v>669</v>
      </c>
      <c r="Q67" s="79"/>
      <c r="R67" s="79"/>
      <c r="S67" s="79" t="s">
        <v>660</v>
      </c>
      <c r="T67" s="79" t="s">
        <v>671</v>
      </c>
      <c r="U67" s="79"/>
      <c r="V67" s="79"/>
    </row>
    <row r="68" spans="1:22" s="61" customFormat="1" ht="15" customHeight="1" x14ac:dyDescent="0.25">
      <c r="A68" s="79"/>
      <c r="B68" s="79"/>
      <c r="C68" s="79"/>
      <c r="D68" s="79"/>
      <c r="E68" s="79"/>
      <c r="F68" s="79" t="s">
        <v>799</v>
      </c>
      <c r="G68" s="79" t="s">
        <v>800</v>
      </c>
      <c r="H68" s="80" t="s">
        <v>1050</v>
      </c>
      <c r="I68" s="79" t="s">
        <v>654</v>
      </c>
      <c r="J68" s="79" t="s">
        <v>97</v>
      </c>
      <c r="K68" s="79"/>
      <c r="L68" s="79" t="s">
        <v>462</v>
      </c>
      <c r="M68" s="79" t="s">
        <v>801</v>
      </c>
      <c r="N68" s="81" t="s">
        <v>470</v>
      </c>
      <c r="O68" s="79" t="s">
        <v>668</v>
      </c>
      <c r="P68" s="79" t="s">
        <v>669</v>
      </c>
      <c r="Q68" s="79"/>
      <c r="R68" s="79"/>
      <c r="S68" s="79" t="s">
        <v>660</v>
      </c>
      <c r="T68" s="79" t="s">
        <v>671</v>
      </c>
      <c r="U68" s="79"/>
      <c r="V68" s="79"/>
    </row>
    <row r="69" spans="1:22" s="61" customFormat="1" ht="15" customHeight="1" x14ac:dyDescent="0.25">
      <c r="A69" s="79"/>
      <c r="B69" s="79"/>
      <c r="C69" s="79"/>
      <c r="D69" s="79"/>
      <c r="E69" s="79"/>
      <c r="F69" s="79" t="s">
        <v>802</v>
      </c>
      <c r="G69" s="79" t="s">
        <v>803</v>
      </c>
      <c r="H69" s="80" t="s">
        <v>1051</v>
      </c>
      <c r="I69" s="79" t="s">
        <v>654</v>
      </c>
      <c r="J69" s="79" t="s">
        <v>98</v>
      </c>
      <c r="K69" s="79"/>
      <c r="L69" s="79" t="s">
        <v>462</v>
      </c>
      <c r="M69" s="79" t="s">
        <v>804</v>
      </c>
      <c r="N69" s="81" t="s">
        <v>470</v>
      </c>
      <c r="O69" s="79" t="s">
        <v>668</v>
      </c>
      <c r="P69" s="79" t="s">
        <v>669</v>
      </c>
      <c r="Q69" s="79"/>
      <c r="R69" s="79"/>
      <c r="S69" s="79" t="s">
        <v>660</v>
      </c>
      <c r="T69" s="79" t="s">
        <v>671</v>
      </c>
      <c r="U69" s="79"/>
      <c r="V69" s="79"/>
    </row>
    <row r="70" spans="1:22" s="61" customFormat="1" ht="15" customHeight="1" x14ac:dyDescent="0.25">
      <c r="A70" s="79"/>
      <c r="B70" s="79"/>
      <c r="C70" s="79"/>
      <c r="D70" s="79"/>
      <c r="E70" s="79"/>
      <c r="F70" s="79" t="s">
        <v>805</v>
      </c>
      <c r="G70" s="79" t="s">
        <v>806</v>
      </c>
      <c r="H70" s="80" t="s">
        <v>1052</v>
      </c>
      <c r="I70" s="79" t="s">
        <v>654</v>
      </c>
      <c r="J70" s="79" t="s">
        <v>97</v>
      </c>
      <c r="K70" s="79"/>
      <c r="L70" s="79" t="s">
        <v>462</v>
      </c>
      <c r="M70" s="79" t="s">
        <v>807</v>
      </c>
      <c r="N70" s="81" t="s">
        <v>470</v>
      </c>
      <c r="O70" s="79" t="s">
        <v>668</v>
      </c>
      <c r="P70" s="79" t="s">
        <v>669</v>
      </c>
      <c r="Q70" s="79"/>
      <c r="R70" s="79"/>
      <c r="S70" s="79" t="s">
        <v>660</v>
      </c>
      <c r="T70" s="79" t="s">
        <v>671</v>
      </c>
      <c r="U70" s="79"/>
      <c r="V70" s="79"/>
    </row>
    <row r="71" spans="1:22" s="61" customFormat="1" ht="15" customHeight="1" x14ac:dyDescent="0.25">
      <c r="A71" s="79"/>
      <c r="B71" s="79"/>
      <c r="C71" s="79"/>
      <c r="D71" s="79"/>
      <c r="E71" s="79"/>
      <c r="F71" s="79" t="s">
        <v>808</v>
      </c>
      <c r="G71" s="79" t="s">
        <v>809</v>
      </c>
      <c r="H71" s="80" t="s">
        <v>1053</v>
      </c>
      <c r="I71" s="79" t="s">
        <v>654</v>
      </c>
      <c r="J71" s="79" t="s">
        <v>98</v>
      </c>
      <c r="K71" s="79"/>
      <c r="L71" s="79" t="s">
        <v>462</v>
      </c>
      <c r="M71" s="79" t="s">
        <v>810</v>
      </c>
      <c r="N71" s="81" t="s">
        <v>470</v>
      </c>
      <c r="O71" s="79" t="s">
        <v>668</v>
      </c>
      <c r="P71" s="79" t="s">
        <v>669</v>
      </c>
      <c r="Q71" s="79"/>
      <c r="R71" s="79"/>
      <c r="S71" s="79" t="s">
        <v>660</v>
      </c>
      <c r="T71" s="79" t="s">
        <v>671</v>
      </c>
      <c r="U71" s="79"/>
      <c r="V71" s="79"/>
    </row>
    <row r="72" spans="1:22" s="61" customFormat="1" ht="15" customHeight="1" x14ac:dyDescent="0.25">
      <c r="A72" s="79"/>
      <c r="B72" s="79"/>
      <c r="C72" s="79"/>
      <c r="D72" s="79"/>
      <c r="E72" s="79"/>
      <c r="F72" s="79" t="s">
        <v>811</v>
      </c>
      <c r="G72" s="79" t="s">
        <v>812</v>
      </c>
      <c r="H72" s="80" t="s">
        <v>1054</v>
      </c>
      <c r="I72" s="79" t="s">
        <v>654</v>
      </c>
      <c r="J72" s="79" t="s">
        <v>98</v>
      </c>
      <c r="K72" s="79"/>
      <c r="L72" s="79" t="s">
        <v>462</v>
      </c>
      <c r="M72" s="81" t="s">
        <v>813</v>
      </c>
      <c r="N72" s="81" t="s">
        <v>479</v>
      </c>
      <c r="O72" s="79" t="s">
        <v>668</v>
      </c>
      <c r="P72" s="79" t="s">
        <v>669</v>
      </c>
      <c r="Q72" s="79"/>
      <c r="R72" s="79"/>
      <c r="S72" s="79" t="s">
        <v>660</v>
      </c>
      <c r="T72" s="79" t="s">
        <v>671</v>
      </c>
      <c r="U72" s="79"/>
      <c r="V72" s="79"/>
    </row>
    <row r="73" spans="1:22" s="61" customFormat="1" ht="15" customHeight="1" x14ac:dyDescent="0.25">
      <c r="A73" s="79"/>
      <c r="B73" s="79"/>
      <c r="C73" s="79"/>
      <c r="D73" s="79"/>
      <c r="E73" s="79"/>
      <c r="F73" s="79" t="s">
        <v>814</v>
      </c>
      <c r="G73" s="79" t="s">
        <v>815</v>
      </c>
      <c r="H73" s="80" t="s">
        <v>1055</v>
      </c>
      <c r="I73" s="79" t="s">
        <v>654</v>
      </c>
      <c r="J73" s="79" t="s">
        <v>98</v>
      </c>
      <c r="K73" s="79"/>
      <c r="L73" s="79" t="s">
        <v>462</v>
      </c>
      <c r="M73" s="79" t="s">
        <v>816</v>
      </c>
      <c r="N73" s="81" t="s">
        <v>479</v>
      </c>
      <c r="O73" s="79" t="s">
        <v>668</v>
      </c>
      <c r="P73" s="79" t="s">
        <v>669</v>
      </c>
      <c r="Q73" s="79"/>
      <c r="R73" s="79"/>
      <c r="S73" s="79" t="s">
        <v>660</v>
      </c>
      <c r="T73" s="79" t="s">
        <v>671</v>
      </c>
      <c r="U73" s="79"/>
      <c r="V73" s="79"/>
    </row>
    <row r="74" spans="1:22" s="61" customFormat="1" ht="15" customHeight="1" x14ac:dyDescent="0.25">
      <c r="A74" s="79"/>
      <c r="B74" s="79"/>
      <c r="C74" s="79"/>
      <c r="D74" s="79"/>
      <c r="E74" s="79"/>
      <c r="F74" s="79" t="s">
        <v>817</v>
      </c>
      <c r="G74" s="79" t="s">
        <v>818</v>
      </c>
      <c r="H74" s="80" t="s">
        <v>1056</v>
      </c>
      <c r="I74" s="79" t="s">
        <v>654</v>
      </c>
      <c r="J74" s="79" t="s">
        <v>98</v>
      </c>
      <c r="K74" s="79"/>
      <c r="L74" s="79" t="s">
        <v>462</v>
      </c>
      <c r="M74" s="79" t="s">
        <v>819</v>
      </c>
      <c r="N74" s="81" t="s">
        <v>479</v>
      </c>
      <c r="O74" s="79" t="s">
        <v>668</v>
      </c>
      <c r="P74" s="79" t="s">
        <v>669</v>
      </c>
      <c r="Q74" s="79"/>
      <c r="R74" s="79"/>
      <c r="S74" s="79" t="s">
        <v>660</v>
      </c>
      <c r="T74" s="79" t="s">
        <v>671</v>
      </c>
      <c r="U74" s="79"/>
      <c r="V74" s="79"/>
    </row>
    <row r="75" spans="1:22" s="61" customFormat="1" ht="15" customHeight="1" x14ac:dyDescent="0.25">
      <c r="A75" s="79"/>
      <c r="B75" s="79"/>
      <c r="C75" s="79"/>
      <c r="D75" s="79"/>
      <c r="E75" s="79"/>
      <c r="F75" s="79" t="s">
        <v>480</v>
      </c>
      <c r="G75" s="79" t="s">
        <v>820</v>
      </c>
      <c r="H75" s="80" t="s">
        <v>1057</v>
      </c>
      <c r="I75" s="79" t="s">
        <v>654</v>
      </c>
      <c r="J75" s="79" t="s">
        <v>98</v>
      </c>
      <c r="K75" s="79"/>
      <c r="L75" s="79" t="s">
        <v>462</v>
      </c>
      <c r="M75" s="79" t="s">
        <v>482</v>
      </c>
      <c r="N75" s="81" t="s">
        <v>483</v>
      </c>
      <c r="O75" s="79" t="s">
        <v>668</v>
      </c>
      <c r="P75" s="79" t="s">
        <v>669</v>
      </c>
      <c r="Q75" s="79"/>
      <c r="R75" s="79"/>
      <c r="S75" s="79" t="s">
        <v>660</v>
      </c>
      <c r="T75" s="79" t="s">
        <v>671</v>
      </c>
      <c r="U75" s="79"/>
      <c r="V75" s="79"/>
    </row>
    <row r="76" spans="1:22" s="61" customFormat="1" ht="15" customHeight="1" x14ac:dyDescent="0.25">
      <c r="A76" s="79"/>
      <c r="B76" s="79"/>
      <c r="C76" s="79"/>
      <c r="D76" s="79"/>
      <c r="E76" s="79"/>
      <c r="F76" s="79" t="s">
        <v>489</v>
      </c>
      <c r="G76" s="79" t="s">
        <v>821</v>
      </c>
      <c r="H76" s="80" t="s">
        <v>1058</v>
      </c>
      <c r="I76" s="79" t="s">
        <v>654</v>
      </c>
      <c r="J76" s="79" t="s">
        <v>97</v>
      </c>
      <c r="K76" s="79"/>
      <c r="L76" s="79" t="s">
        <v>462</v>
      </c>
      <c r="M76" s="79" t="s">
        <v>822</v>
      </c>
      <c r="N76" s="81" t="s">
        <v>492</v>
      </c>
      <c r="O76" s="79" t="s">
        <v>668</v>
      </c>
      <c r="P76" s="79" t="s">
        <v>669</v>
      </c>
      <c r="Q76" s="79"/>
      <c r="R76" s="79"/>
      <c r="S76" s="79" t="s">
        <v>660</v>
      </c>
      <c r="T76" s="79" t="s">
        <v>671</v>
      </c>
      <c r="U76" s="79"/>
      <c r="V76" s="79"/>
    </row>
    <row r="77" spans="1:22" s="61" customFormat="1" ht="15" customHeight="1" x14ac:dyDescent="0.25">
      <c r="A77" s="79"/>
      <c r="B77" s="79"/>
      <c r="C77" s="79"/>
      <c r="D77" s="79"/>
      <c r="E77" s="79"/>
      <c r="F77" s="79" t="s">
        <v>494</v>
      </c>
      <c r="G77" s="79" t="s">
        <v>823</v>
      </c>
      <c r="H77" s="80" t="s">
        <v>1059</v>
      </c>
      <c r="I77" s="79" t="s">
        <v>654</v>
      </c>
      <c r="J77" s="79" t="s">
        <v>97</v>
      </c>
      <c r="K77" s="79"/>
      <c r="L77" s="79" t="s">
        <v>462</v>
      </c>
      <c r="M77" s="79" t="s">
        <v>824</v>
      </c>
      <c r="N77" s="81" t="s">
        <v>492</v>
      </c>
      <c r="O77" s="79" t="s">
        <v>668</v>
      </c>
      <c r="P77" s="79" t="s">
        <v>669</v>
      </c>
      <c r="Q77" s="79"/>
      <c r="R77" s="79"/>
      <c r="S77" s="79" t="s">
        <v>660</v>
      </c>
      <c r="T77" s="79" t="s">
        <v>671</v>
      </c>
      <c r="U77" s="79"/>
      <c r="V77" s="79"/>
    </row>
    <row r="78" spans="1:22" s="61" customFormat="1" ht="15" customHeight="1" x14ac:dyDescent="0.25">
      <c r="A78" s="79"/>
      <c r="B78" s="79"/>
      <c r="C78" s="79"/>
      <c r="D78" s="79"/>
      <c r="E78" s="79"/>
      <c r="F78" s="79" t="s">
        <v>498</v>
      </c>
      <c r="G78" s="79" t="s">
        <v>825</v>
      </c>
      <c r="H78" s="80" t="s">
        <v>1060</v>
      </c>
      <c r="I78" s="79" t="s">
        <v>654</v>
      </c>
      <c r="J78" s="79" t="s">
        <v>97</v>
      </c>
      <c r="K78" s="79"/>
      <c r="L78" s="79" t="s">
        <v>462</v>
      </c>
      <c r="M78" s="79" t="s">
        <v>501</v>
      </c>
      <c r="N78" s="81" t="s">
        <v>502</v>
      </c>
      <c r="O78" s="79" t="s">
        <v>668</v>
      </c>
      <c r="P78" s="79" t="s">
        <v>669</v>
      </c>
      <c r="Q78" s="79"/>
      <c r="R78" s="79"/>
      <c r="S78" s="79" t="s">
        <v>660</v>
      </c>
      <c r="T78" s="79" t="s">
        <v>671</v>
      </c>
      <c r="U78" s="79"/>
      <c r="V78" s="79"/>
    </row>
    <row r="79" spans="1:22" s="61" customFormat="1" ht="15" customHeight="1" x14ac:dyDescent="0.25">
      <c r="A79" s="79"/>
      <c r="B79" s="79"/>
      <c r="C79" s="79"/>
      <c r="D79" s="79"/>
      <c r="E79" s="79"/>
      <c r="F79" s="79" t="s">
        <v>826</v>
      </c>
      <c r="G79" s="79" t="s">
        <v>827</v>
      </c>
      <c r="H79" s="80" t="s">
        <v>1061</v>
      </c>
      <c r="I79" s="79" t="s">
        <v>655</v>
      </c>
      <c r="J79" s="79" t="s">
        <v>98</v>
      </c>
      <c r="K79" s="79"/>
      <c r="L79" s="79" t="s">
        <v>462</v>
      </c>
      <c r="M79" s="81" t="s">
        <v>828</v>
      </c>
      <c r="N79" s="81" t="s">
        <v>508</v>
      </c>
      <c r="O79" s="79" t="s">
        <v>668</v>
      </c>
      <c r="P79" s="79" t="s">
        <v>669</v>
      </c>
      <c r="Q79" s="79"/>
      <c r="R79" s="79"/>
      <c r="S79" s="79" t="s">
        <v>660</v>
      </c>
      <c r="T79" s="79" t="s">
        <v>671</v>
      </c>
      <c r="U79" s="79"/>
      <c r="V79" s="79"/>
    </row>
    <row r="80" spans="1:22" s="61" customFormat="1" ht="15" customHeight="1" x14ac:dyDescent="0.25">
      <c r="A80" s="79"/>
      <c r="B80" s="79"/>
      <c r="C80" s="79"/>
      <c r="D80" s="79"/>
      <c r="E80" s="79"/>
      <c r="F80" s="79" t="s">
        <v>829</v>
      </c>
      <c r="G80" s="79" t="s">
        <v>830</v>
      </c>
      <c r="H80" s="80" t="s">
        <v>1062</v>
      </c>
      <c r="I80" s="79" t="s">
        <v>655</v>
      </c>
      <c r="J80" s="79" t="s">
        <v>98</v>
      </c>
      <c r="K80" s="79"/>
      <c r="L80" s="79" t="s">
        <v>462</v>
      </c>
      <c r="M80" s="79" t="s">
        <v>831</v>
      </c>
      <c r="N80" s="81" t="s">
        <v>508</v>
      </c>
      <c r="O80" s="79" t="s">
        <v>668</v>
      </c>
      <c r="P80" s="79" t="s">
        <v>669</v>
      </c>
      <c r="Q80" s="79"/>
      <c r="R80" s="79"/>
      <c r="S80" s="79" t="s">
        <v>660</v>
      </c>
      <c r="T80" s="79" t="s">
        <v>671</v>
      </c>
      <c r="U80" s="79"/>
      <c r="V80" s="79"/>
    </row>
    <row r="81" spans="1:22" s="61" customFormat="1" ht="15" customHeight="1" x14ac:dyDescent="0.25">
      <c r="A81" s="79"/>
      <c r="B81" s="79"/>
      <c r="C81" s="79"/>
      <c r="D81" s="79"/>
      <c r="E81" s="79"/>
      <c r="F81" s="79" t="s">
        <v>832</v>
      </c>
      <c r="G81" s="79" t="s">
        <v>833</v>
      </c>
      <c r="H81" s="80" t="s">
        <v>1063</v>
      </c>
      <c r="I81" s="79" t="s">
        <v>655</v>
      </c>
      <c r="J81" s="79" t="s">
        <v>98</v>
      </c>
      <c r="K81" s="79"/>
      <c r="L81" s="79" t="s">
        <v>462</v>
      </c>
      <c r="M81" s="79" t="s">
        <v>834</v>
      </c>
      <c r="N81" s="81" t="s">
        <v>835</v>
      </c>
      <c r="O81" s="79" t="s">
        <v>668</v>
      </c>
      <c r="P81" s="79" t="s">
        <v>669</v>
      </c>
      <c r="Q81" s="79"/>
      <c r="R81" s="79"/>
      <c r="S81" s="79" t="s">
        <v>660</v>
      </c>
      <c r="T81" s="79" t="s">
        <v>671</v>
      </c>
      <c r="U81" s="79"/>
      <c r="V81" s="79"/>
    </row>
    <row r="82" spans="1:22" s="61" customFormat="1" ht="15" customHeight="1" x14ac:dyDescent="0.25">
      <c r="A82" s="79"/>
      <c r="B82" s="79"/>
      <c r="C82" s="79"/>
      <c r="D82" s="79"/>
      <c r="E82" s="79"/>
      <c r="F82" s="79" t="s">
        <v>836</v>
      </c>
      <c r="G82" s="79" t="s">
        <v>837</v>
      </c>
      <c r="H82" s="80" t="s">
        <v>1064</v>
      </c>
      <c r="I82" s="79" t="s">
        <v>655</v>
      </c>
      <c r="J82" s="79" t="s">
        <v>98</v>
      </c>
      <c r="K82" s="79"/>
      <c r="L82" s="79" t="s">
        <v>462</v>
      </c>
      <c r="M82" s="79" t="s">
        <v>838</v>
      </c>
      <c r="N82" s="81" t="s">
        <v>839</v>
      </c>
      <c r="O82" s="79" t="s">
        <v>668</v>
      </c>
      <c r="P82" s="79" t="s">
        <v>669</v>
      </c>
      <c r="Q82" s="79"/>
      <c r="R82" s="79"/>
      <c r="S82" s="79" t="s">
        <v>660</v>
      </c>
      <c r="T82" s="79" t="s">
        <v>671</v>
      </c>
      <c r="U82" s="79"/>
      <c r="V82" s="79"/>
    </row>
    <row r="83" spans="1:22" s="61" customFormat="1" ht="15" customHeight="1" x14ac:dyDescent="0.25">
      <c r="A83" s="79"/>
      <c r="B83" s="79"/>
      <c r="C83" s="79"/>
      <c r="D83" s="79"/>
      <c r="E83" s="79"/>
      <c r="F83" s="79" t="s">
        <v>840</v>
      </c>
      <c r="G83" s="79" t="s">
        <v>841</v>
      </c>
      <c r="H83" s="80" t="s">
        <v>1065</v>
      </c>
      <c r="I83" s="79" t="s">
        <v>656</v>
      </c>
      <c r="J83" s="79" t="s">
        <v>98</v>
      </c>
      <c r="K83" s="79"/>
      <c r="L83" s="79" t="s">
        <v>462</v>
      </c>
      <c r="M83" s="79" t="s">
        <v>842</v>
      </c>
      <c r="N83" s="81" t="s">
        <v>523</v>
      </c>
      <c r="O83" s="79" t="s">
        <v>668</v>
      </c>
      <c r="P83" s="79" t="s">
        <v>669</v>
      </c>
      <c r="Q83" s="79"/>
      <c r="R83" s="79"/>
      <c r="S83" s="79" t="s">
        <v>662</v>
      </c>
      <c r="T83" s="79" t="s">
        <v>747</v>
      </c>
      <c r="U83" s="79"/>
      <c r="V83" s="79"/>
    </row>
    <row r="84" spans="1:22" s="61" customFormat="1" ht="15" customHeight="1" x14ac:dyDescent="0.25">
      <c r="A84" s="79"/>
      <c r="B84" s="79"/>
      <c r="C84" s="79"/>
      <c r="D84" s="79"/>
      <c r="E84" s="79"/>
      <c r="F84" s="79" t="s">
        <v>843</v>
      </c>
      <c r="G84" s="79" t="s">
        <v>844</v>
      </c>
      <c r="H84" s="80" t="s">
        <v>1066</v>
      </c>
      <c r="I84" s="79" t="s">
        <v>656</v>
      </c>
      <c r="J84" s="79" t="s">
        <v>98</v>
      </c>
      <c r="K84" s="79"/>
      <c r="L84" s="79" t="s">
        <v>462</v>
      </c>
      <c r="M84" s="79" t="s">
        <v>845</v>
      </c>
      <c r="N84" s="81" t="s">
        <v>523</v>
      </c>
      <c r="O84" s="79" t="s">
        <v>668</v>
      </c>
      <c r="P84" s="79" t="s">
        <v>669</v>
      </c>
      <c r="Q84" s="79"/>
      <c r="R84" s="79"/>
      <c r="S84" s="79" t="s">
        <v>662</v>
      </c>
      <c r="T84" s="79" t="s">
        <v>747</v>
      </c>
      <c r="U84" s="79"/>
      <c r="V84" s="79"/>
    </row>
    <row r="85" spans="1:22" s="61" customFormat="1" ht="15" customHeight="1" x14ac:dyDescent="0.25">
      <c r="A85" s="79"/>
      <c r="B85" s="79"/>
      <c r="C85" s="79"/>
      <c r="D85" s="79"/>
      <c r="E85" s="79"/>
      <c r="F85" s="79" t="s">
        <v>846</v>
      </c>
      <c r="G85" s="79" t="s">
        <v>847</v>
      </c>
      <c r="H85" s="80" t="s">
        <v>1067</v>
      </c>
      <c r="I85" s="79" t="s">
        <v>656</v>
      </c>
      <c r="J85" s="79" t="s">
        <v>98</v>
      </c>
      <c r="K85" s="79"/>
      <c r="L85" s="79" t="s">
        <v>462</v>
      </c>
      <c r="M85" s="81" t="s">
        <v>848</v>
      </c>
      <c r="N85" s="81" t="s">
        <v>523</v>
      </c>
      <c r="O85" s="79" t="s">
        <v>668</v>
      </c>
      <c r="P85" s="79" t="s">
        <v>669</v>
      </c>
      <c r="Q85" s="79"/>
      <c r="R85" s="79"/>
      <c r="S85" s="79" t="s">
        <v>662</v>
      </c>
      <c r="T85" s="79" t="s">
        <v>747</v>
      </c>
      <c r="U85" s="79"/>
      <c r="V85" s="79"/>
    </row>
    <row r="86" spans="1:22" s="61" customFormat="1" ht="15" customHeight="1" x14ac:dyDescent="0.25">
      <c r="A86" s="79"/>
      <c r="B86" s="79"/>
      <c r="C86" s="79"/>
      <c r="D86" s="79"/>
      <c r="E86" s="79"/>
      <c r="F86" s="79" t="s">
        <v>849</v>
      </c>
      <c r="G86" s="79" t="s">
        <v>850</v>
      </c>
      <c r="H86" s="80" t="s">
        <v>1068</v>
      </c>
      <c r="I86" s="79" t="s">
        <v>656</v>
      </c>
      <c r="J86" s="79" t="s">
        <v>98</v>
      </c>
      <c r="K86" s="79"/>
      <c r="L86" s="79" t="s">
        <v>462</v>
      </c>
      <c r="M86" s="81" t="s">
        <v>851</v>
      </c>
      <c r="N86" s="81" t="s">
        <v>523</v>
      </c>
      <c r="O86" s="79" t="s">
        <v>668</v>
      </c>
      <c r="P86" s="79" t="s">
        <v>669</v>
      </c>
      <c r="Q86" s="79"/>
      <c r="R86" s="79"/>
      <c r="S86" s="79" t="s">
        <v>662</v>
      </c>
      <c r="T86" s="79" t="s">
        <v>747</v>
      </c>
      <c r="U86" s="79"/>
      <c r="V86" s="79"/>
    </row>
    <row r="87" spans="1:22" s="61" customFormat="1" ht="15" customHeight="1" x14ac:dyDescent="0.25">
      <c r="A87" s="79"/>
      <c r="B87" s="79"/>
      <c r="C87" s="79"/>
      <c r="D87" s="79"/>
      <c r="E87" s="79"/>
      <c r="F87" s="79" t="s">
        <v>852</v>
      </c>
      <c r="G87" s="79" t="s">
        <v>853</v>
      </c>
      <c r="H87" s="80" t="s">
        <v>1069</v>
      </c>
      <c r="I87" s="79" t="s">
        <v>656</v>
      </c>
      <c r="J87" s="79" t="s">
        <v>98</v>
      </c>
      <c r="K87" s="79"/>
      <c r="L87" s="79" t="s">
        <v>462</v>
      </c>
      <c r="M87" s="79" t="s">
        <v>854</v>
      </c>
      <c r="N87" s="81" t="s">
        <v>523</v>
      </c>
      <c r="O87" s="79" t="s">
        <v>668</v>
      </c>
      <c r="P87" s="79" t="s">
        <v>669</v>
      </c>
      <c r="Q87" s="79"/>
      <c r="R87" s="79"/>
      <c r="S87" s="79" t="s">
        <v>662</v>
      </c>
      <c r="T87" s="79" t="s">
        <v>747</v>
      </c>
      <c r="U87" s="79"/>
      <c r="V87" s="79"/>
    </row>
    <row r="88" spans="1:22" s="61" customFormat="1" ht="15" customHeight="1" x14ac:dyDescent="0.25">
      <c r="A88" s="79"/>
      <c r="B88" s="79"/>
      <c r="C88" s="79"/>
      <c r="D88" s="79"/>
      <c r="E88" s="79"/>
      <c r="F88" s="79" t="s">
        <v>855</v>
      </c>
      <c r="G88" s="79" t="s">
        <v>856</v>
      </c>
      <c r="H88" s="80" t="s">
        <v>1070</v>
      </c>
      <c r="I88" s="79" t="s">
        <v>656</v>
      </c>
      <c r="J88" s="79" t="s">
        <v>98</v>
      </c>
      <c r="K88" s="79"/>
      <c r="L88" s="79" t="s">
        <v>462</v>
      </c>
      <c r="M88" s="79" t="s">
        <v>857</v>
      </c>
      <c r="N88" s="81" t="s">
        <v>523</v>
      </c>
      <c r="O88" s="79" t="s">
        <v>668</v>
      </c>
      <c r="P88" s="79" t="s">
        <v>669</v>
      </c>
      <c r="Q88" s="79"/>
      <c r="R88" s="79"/>
      <c r="S88" s="79" t="s">
        <v>662</v>
      </c>
      <c r="T88" s="79" t="s">
        <v>747</v>
      </c>
      <c r="U88" s="79"/>
      <c r="V88" s="79"/>
    </row>
    <row r="89" spans="1:22" s="61" customFormat="1" ht="15" customHeight="1" x14ac:dyDescent="0.25">
      <c r="A89" s="79"/>
      <c r="B89" s="79"/>
      <c r="C89" s="79"/>
      <c r="D89" s="79"/>
      <c r="E89" s="79"/>
      <c r="F89" s="79" t="s">
        <v>858</v>
      </c>
      <c r="G89" s="79" t="s">
        <v>859</v>
      </c>
      <c r="H89" s="80" t="s">
        <v>1071</v>
      </c>
      <c r="I89" s="79" t="s">
        <v>656</v>
      </c>
      <c r="J89" s="79" t="s">
        <v>98</v>
      </c>
      <c r="K89" s="79"/>
      <c r="L89" s="79" t="s">
        <v>462</v>
      </c>
      <c r="M89" s="79" t="s">
        <v>860</v>
      </c>
      <c r="N89" s="81" t="s">
        <v>523</v>
      </c>
      <c r="O89" s="79" t="s">
        <v>668</v>
      </c>
      <c r="P89" s="79" t="s">
        <v>669</v>
      </c>
      <c r="Q89" s="79"/>
      <c r="R89" s="79"/>
      <c r="S89" s="79" t="s">
        <v>662</v>
      </c>
      <c r="T89" s="79" t="s">
        <v>747</v>
      </c>
      <c r="U89" s="79"/>
      <c r="V89" s="79"/>
    </row>
    <row r="90" spans="1:22" s="61" customFormat="1" ht="15" customHeight="1" x14ac:dyDescent="0.25">
      <c r="A90" s="79"/>
      <c r="B90" s="79"/>
      <c r="C90" s="79"/>
      <c r="D90" s="79"/>
      <c r="E90" s="79"/>
      <c r="F90" s="79" t="s">
        <v>861</v>
      </c>
      <c r="G90" s="79" t="s">
        <v>862</v>
      </c>
      <c r="H90" s="80" t="s">
        <v>1072</v>
      </c>
      <c r="I90" s="79" t="s">
        <v>656</v>
      </c>
      <c r="J90" s="79" t="s">
        <v>98</v>
      </c>
      <c r="K90" s="79"/>
      <c r="L90" s="79" t="s">
        <v>462</v>
      </c>
      <c r="M90" s="79" t="s">
        <v>863</v>
      </c>
      <c r="N90" s="81" t="s">
        <v>523</v>
      </c>
      <c r="O90" s="79" t="s">
        <v>668</v>
      </c>
      <c r="P90" s="79" t="s">
        <v>669</v>
      </c>
      <c r="Q90" s="79"/>
      <c r="R90" s="79"/>
      <c r="S90" s="79" t="s">
        <v>662</v>
      </c>
      <c r="T90" s="79" t="s">
        <v>747</v>
      </c>
      <c r="U90" s="79"/>
      <c r="V90" s="79"/>
    </row>
    <row r="91" spans="1:22" s="61" customFormat="1" ht="15" customHeight="1" x14ac:dyDescent="0.25">
      <c r="A91" s="79"/>
      <c r="B91" s="79"/>
      <c r="C91" s="79"/>
      <c r="D91" s="79"/>
      <c r="E91" s="79"/>
      <c r="F91" s="79" t="s">
        <v>864</v>
      </c>
      <c r="G91" s="79" t="s">
        <v>865</v>
      </c>
      <c r="H91" s="80" t="s">
        <v>1073</v>
      </c>
      <c r="I91" s="79" t="s">
        <v>657</v>
      </c>
      <c r="J91" s="79" t="s">
        <v>97</v>
      </c>
      <c r="K91" s="79"/>
      <c r="L91" s="79" t="s">
        <v>462</v>
      </c>
      <c r="M91" s="79" t="s">
        <v>528</v>
      </c>
      <c r="N91" s="81" t="s">
        <v>529</v>
      </c>
      <c r="O91" s="79" t="s">
        <v>668</v>
      </c>
      <c r="P91" s="79" t="s">
        <v>669</v>
      </c>
      <c r="Q91" s="79"/>
      <c r="R91" s="79"/>
      <c r="S91" s="79" t="s">
        <v>661</v>
      </c>
      <c r="T91" s="79" t="s">
        <v>747</v>
      </c>
      <c r="U91" s="79"/>
      <c r="V91" s="79"/>
    </row>
    <row r="92" spans="1:22" s="61" customFormat="1" ht="15" customHeight="1" x14ac:dyDescent="0.25">
      <c r="A92" s="79"/>
      <c r="B92" s="79"/>
      <c r="C92" s="79"/>
      <c r="D92" s="79"/>
      <c r="E92" s="79"/>
      <c r="F92" s="79" t="s">
        <v>534</v>
      </c>
      <c r="G92" s="79" t="s">
        <v>866</v>
      </c>
      <c r="H92" s="80" t="s">
        <v>1074</v>
      </c>
      <c r="I92" s="79" t="s">
        <v>656</v>
      </c>
      <c r="J92" s="79" t="s">
        <v>98</v>
      </c>
      <c r="K92" s="79"/>
      <c r="L92" s="79" t="s">
        <v>462</v>
      </c>
      <c r="M92" s="79" t="s">
        <v>535</v>
      </c>
      <c r="N92" s="81" t="s">
        <v>536</v>
      </c>
      <c r="O92" s="79" t="s">
        <v>668</v>
      </c>
      <c r="P92" s="79" t="s">
        <v>669</v>
      </c>
      <c r="Q92" s="79"/>
      <c r="R92" s="79"/>
      <c r="S92" s="79" t="s">
        <v>662</v>
      </c>
      <c r="T92" s="79" t="s">
        <v>747</v>
      </c>
      <c r="U92" s="79"/>
      <c r="V92" s="79"/>
    </row>
    <row r="93" spans="1:22" s="61" customFormat="1" ht="15" customHeight="1" x14ac:dyDescent="0.25">
      <c r="A93" s="79"/>
      <c r="B93" s="79"/>
      <c r="C93" s="79"/>
      <c r="D93" s="79"/>
      <c r="E93" s="79"/>
      <c r="F93" s="79" t="s">
        <v>541</v>
      </c>
      <c r="G93" s="79" t="s">
        <v>867</v>
      </c>
      <c r="H93" s="80" t="s">
        <v>1075</v>
      </c>
      <c r="I93" s="79" t="s">
        <v>657</v>
      </c>
      <c r="J93" s="79" t="s">
        <v>99</v>
      </c>
      <c r="K93" s="79"/>
      <c r="L93" s="79" t="s">
        <v>462</v>
      </c>
      <c r="M93" s="79" t="s">
        <v>543</v>
      </c>
      <c r="N93" s="81" t="s">
        <v>544</v>
      </c>
      <c r="O93" s="79" t="s">
        <v>668</v>
      </c>
      <c r="P93" s="79" t="s">
        <v>669</v>
      </c>
      <c r="Q93" s="79"/>
      <c r="R93" s="79"/>
      <c r="S93" s="79" t="s">
        <v>661</v>
      </c>
      <c r="T93" s="79" t="s">
        <v>747</v>
      </c>
      <c r="U93" s="79"/>
      <c r="V93" s="79"/>
    </row>
    <row r="94" spans="1:22" s="61" customFormat="1" ht="15" customHeight="1" x14ac:dyDescent="0.25">
      <c r="A94" s="79"/>
      <c r="B94" s="79"/>
      <c r="C94" s="79"/>
      <c r="D94" s="79"/>
      <c r="E94" s="79"/>
      <c r="F94" s="79" t="s">
        <v>546</v>
      </c>
      <c r="G94" s="79" t="s">
        <v>868</v>
      </c>
      <c r="H94" s="80" t="s">
        <v>1076</v>
      </c>
      <c r="I94" s="79" t="s">
        <v>658</v>
      </c>
      <c r="J94" s="79" t="s">
        <v>98</v>
      </c>
      <c r="K94" s="79"/>
      <c r="L94" s="79" t="s">
        <v>462</v>
      </c>
      <c r="M94" s="79" t="s">
        <v>869</v>
      </c>
      <c r="N94" s="81" t="s">
        <v>549</v>
      </c>
      <c r="O94" s="79" t="s">
        <v>668</v>
      </c>
      <c r="P94" s="79" t="s">
        <v>669</v>
      </c>
      <c r="Q94" s="79"/>
      <c r="R94" s="79"/>
      <c r="S94" s="79" t="s">
        <v>37</v>
      </c>
      <c r="T94" s="79" t="s">
        <v>747</v>
      </c>
      <c r="U94" s="79"/>
      <c r="V94" s="79"/>
    </row>
    <row r="95" spans="1:22" s="61" customFormat="1" ht="15" customHeight="1" x14ac:dyDescent="0.25">
      <c r="A95" s="79"/>
      <c r="B95" s="79"/>
      <c r="C95" s="79"/>
      <c r="D95" s="79"/>
      <c r="E95" s="79" t="s">
        <v>74</v>
      </c>
      <c r="F95" s="79"/>
      <c r="G95" s="79"/>
      <c r="H95" s="80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</row>
    <row r="96" spans="1:22" s="61" customFormat="1" ht="15" customHeight="1" x14ac:dyDescent="0.25">
      <c r="A96" s="79"/>
      <c r="B96" s="79"/>
      <c r="C96" s="79"/>
      <c r="D96" s="79"/>
      <c r="E96" s="79"/>
      <c r="F96" s="79" t="s">
        <v>870</v>
      </c>
      <c r="G96" s="79" t="s">
        <v>871</v>
      </c>
      <c r="H96" s="80" t="s">
        <v>1077</v>
      </c>
      <c r="I96" s="79" t="s">
        <v>654</v>
      </c>
      <c r="J96" s="79" t="s">
        <v>98</v>
      </c>
      <c r="K96" s="79"/>
      <c r="L96" s="79" t="s">
        <v>462</v>
      </c>
      <c r="M96" s="79" t="s">
        <v>872</v>
      </c>
      <c r="N96" s="81" t="s">
        <v>560</v>
      </c>
      <c r="O96" s="79" t="s">
        <v>668</v>
      </c>
      <c r="P96" s="79" t="s">
        <v>669</v>
      </c>
      <c r="Q96" s="79"/>
      <c r="R96" s="79"/>
      <c r="S96" s="79" t="s">
        <v>660</v>
      </c>
      <c r="T96" s="79" t="s">
        <v>671</v>
      </c>
      <c r="U96" s="79"/>
      <c r="V96" s="79"/>
    </row>
    <row r="97" spans="1:22" s="61" customFormat="1" ht="15" customHeight="1" x14ac:dyDescent="0.25">
      <c r="A97" s="79"/>
      <c r="B97" s="79"/>
      <c r="C97" s="79"/>
      <c r="D97" s="79"/>
      <c r="E97" s="79"/>
      <c r="F97" s="79" t="s">
        <v>873</v>
      </c>
      <c r="G97" s="79" t="s">
        <v>874</v>
      </c>
      <c r="H97" s="80" t="s">
        <v>1078</v>
      </c>
      <c r="I97" s="79" t="s">
        <v>654</v>
      </c>
      <c r="J97" s="79" t="s">
        <v>97</v>
      </c>
      <c r="K97" s="79"/>
      <c r="L97" s="79" t="s">
        <v>462</v>
      </c>
      <c r="M97" s="79" t="s">
        <v>875</v>
      </c>
      <c r="N97" s="81" t="s">
        <v>560</v>
      </c>
      <c r="O97" s="79" t="s">
        <v>668</v>
      </c>
      <c r="P97" s="79" t="s">
        <v>669</v>
      </c>
      <c r="Q97" s="79"/>
      <c r="R97" s="79"/>
      <c r="S97" s="79" t="s">
        <v>660</v>
      </c>
      <c r="T97" s="79" t="s">
        <v>671</v>
      </c>
      <c r="U97" s="79"/>
      <c r="V97" s="79"/>
    </row>
    <row r="98" spans="1:22" s="61" customFormat="1" ht="15" customHeight="1" x14ac:dyDescent="0.25">
      <c r="A98" s="79"/>
      <c r="B98" s="79"/>
      <c r="C98" s="79"/>
      <c r="D98" s="79"/>
      <c r="E98" s="79"/>
      <c r="F98" s="79" t="s">
        <v>876</v>
      </c>
      <c r="G98" s="79" t="s">
        <v>877</v>
      </c>
      <c r="H98" s="80" t="s">
        <v>1079</v>
      </c>
      <c r="I98" s="79" t="s">
        <v>654</v>
      </c>
      <c r="J98" s="79" t="s">
        <v>97</v>
      </c>
      <c r="K98" s="79"/>
      <c r="L98" s="79" t="s">
        <v>462</v>
      </c>
      <c r="M98" s="79" t="s">
        <v>879</v>
      </c>
      <c r="N98" s="81" t="s">
        <v>560</v>
      </c>
      <c r="O98" s="79" t="s">
        <v>668</v>
      </c>
      <c r="P98" s="79" t="s">
        <v>669</v>
      </c>
      <c r="Q98" s="79"/>
      <c r="R98" s="79"/>
      <c r="S98" s="79" t="s">
        <v>660</v>
      </c>
      <c r="T98" s="79" t="s">
        <v>671</v>
      </c>
      <c r="U98" s="79"/>
      <c r="V98" s="79"/>
    </row>
    <row r="99" spans="1:22" s="61" customFormat="1" ht="15" customHeight="1" x14ac:dyDescent="0.25">
      <c r="A99" s="79"/>
      <c r="B99" s="79"/>
      <c r="C99" s="79"/>
      <c r="D99" s="79"/>
      <c r="E99" s="79"/>
      <c r="F99" s="79" t="s">
        <v>880</v>
      </c>
      <c r="G99" s="79" t="s">
        <v>881</v>
      </c>
      <c r="H99" s="80" t="s">
        <v>1080</v>
      </c>
      <c r="I99" s="79" t="s">
        <v>654</v>
      </c>
      <c r="J99" s="79" t="s">
        <v>98</v>
      </c>
      <c r="K99" s="79"/>
      <c r="L99" s="79" t="s">
        <v>462</v>
      </c>
      <c r="M99" s="81" t="s">
        <v>883</v>
      </c>
      <c r="N99" s="81" t="s">
        <v>560</v>
      </c>
      <c r="O99" s="79" t="s">
        <v>668</v>
      </c>
      <c r="P99" s="79" t="s">
        <v>669</v>
      </c>
      <c r="Q99" s="79"/>
      <c r="R99" s="79"/>
      <c r="S99" s="79" t="s">
        <v>660</v>
      </c>
      <c r="T99" s="79" t="s">
        <v>671</v>
      </c>
      <c r="U99" s="79"/>
      <c r="V99" s="79"/>
    </row>
    <row r="100" spans="1:22" s="61" customFormat="1" ht="15" customHeight="1" x14ac:dyDescent="0.25">
      <c r="A100" s="79"/>
      <c r="B100" s="79"/>
      <c r="C100" s="79"/>
      <c r="D100" s="79"/>
      <c r="E100" s="79"/>
      <c r="F100" s="79" t="s">
        <v>884</v>
      </c>
      <c r="G100" s="79" t="s">
        <v>885</v>
      </c>
      <c r="H100" s="80" t="s">
        <v>1081</v>
      </c>
      <c r="I100" s="79" t="s">
        <v>654</v>
      </c>
      <c r="J100" s="79" t="s">
        <v>98</v>
      </c>
      <c r="K100" s="79"/>
      <c r="L100" s="79" t="s">
        <v>462</v>
      </c>
      <c r="M100" s="79" t="s">
        <v>887</v>
      </c>
      <c r="N100" s="81" t="s">
        <v>560</v>
      </c>
      <c r="O100" s="79" t="s">
        <v>668</v>
      </c>
      <c r="P100" s="79" t="s">
        <v>669</v>
      </c>
      <c r="Q100" s="79"/>
      <c r="R100" s="79"/>
      <c r="S100" s="79" t="s">
        <v>660</v>
      </c>
      <c r="T100" s="79" t="s">
        <v>671</v>
      </c>
      <c r="U100" s="79"/>
      <c r="V100" s="79"/>
    </row>
    <row r="101" spans="1:22" s="61" customFormat="1" ht="15" customHeight="1" x14ac:dyDescent="0.25">
      <c r="A101" s="79"/>
      <c r="B101" s="79"/>
      <c r="C101" s="79"/>
      <c r="D101" s="79"/>
      <c r="E101" s="79"/>
      <c r="F101" s="79" t="s">
        <v>888</v>
      </c>
      <c r="G101" s="79" t="s">
        <v>889</v>
      </c>
      <c r="H101" s="80" t="s">
        <v>1082</v>
      </c>
      <c r="I101" s="79" t="s">
        <v>654</v>
      </c>
      <c r="J101" s="79" t="s">
        <v>97</v>
      </c>
      <c r="K101" s="79"/>
      <c r="L101" s="79" t="s">
        <v>462</v>
      </c>
      <c r="M101" s="79" t="s">
        <v>891</v>
      </c>
      <c r="N101" s="81" t="s">
        <v>560</v>
      </c>
      <c r="O101" s="79" t="s">
        <v>668</v>
      </c>
      <c r="P101" s="79" t="s">
        <v>669</v>
      </c>
      <c r="Q101" s="79"/>
      <c r="R101" s="79"/>
      <c r="S101" s="79" t="s">
        <v>660</v>
      </c>
      <c r="T101" s="79" t="s">
        <v>671</v>
      </c>
      <c r="U101" s="79"/>
      <c r="V101" s="79"/>
    </row>
    <row r="102" spans="1:22" s="61" customFormat="1" ht="15" customHeight="1" x14ac:dyDescent="0.25">
      <c r="A102" s="79"/>
      <c r="B102" s="79"/>
      <c r="C102" s="79"/>
      <c r="D102" s="79"/>
      <c r="E102" s="79"/>
      <c r="F102" s="79" t="s">
        <v>892</v>
      </c>
      <c r="G102" s="79" t="s">
        <v>893</v>
      </c>
      <c r="H102" s="80" t="s">
        <v>1083</v>
      </c>
      <c r="I102" s="79" t="s">
        <v>654</v>
      </c>
      <c r="J102" s="79" t="s">
        <v>98</v>
      </c>
      <c r="K102" s="79"/>
      <c r="L102" s="79" t="s">
        <v>462</v>
      </c>
      <c r="M102" s="79" t="s">
        <v>895</v>
      </c>
      <c r="N102" s="81" t="s">
        <v>560</v>
      </c>
      <c r="O102" s="79" t="s">
        <v>668</v>
      </c>
      <c r="P102" s="79" t="s">
        <v>669</v>
      </c>
      <c r="Q102" s="79"/>
      <c r="R102" s="79"/>
      <c r="S102" s="79" t="s">
        <v>660</v>
      </c>
      <c r="T102" s="79" t="s">
        <v>671</v>
      </c>
      <c r="U102" s="79"/>
      <c r="V102" s="79"/>
    </row>
    <row r="103" spans="1:22" s="61" customFormat="1" ht="15" customHeight="1" x14ac:dyDescent="0.25">
      <c r="A103" s="79"/>
      <c r="B103" s="79"/>
      <c r="C103" s="79"/>
      <c r="D103" s="79"/>
      <c r="E103" s="79"/>
      <c r="F103" s="79" t="s">
        <v>567</v>
      </c>
      <c r="G103" s="79" t="s">
        <v>896</v>
      </c>
      <c r="H103" s="80" t="s">
        <v>1084</v>
      </c>
      <c r="I103" s="79" t="s">
        <v>656</v>
      </c>
      <c r="J103" s="79" t="s">
        <v>98</v>
      </c>
      <c r="K103" s="79"/>
      <c r="L103" s="79" t="s">
        <v>462</v>
      </c>
      <c r="M103" s="79" t="s">
        <v>569</v>
      </c>
      <c r="N103" s="81" t="s">
        <v>570</v>
      </c>
      <c r="O103" s="79" t="s">
        <v>668</v>
      </c>
      <c r="P103" s="79" t="s">
        <v>669</v>
      </c>
      <c r="Q103" s="79"/>
      <c r="R103" s="79"/>
      <c r="S103" s="79" t="s">
        <v>662</v>
      </c>
      <c r="T103" s="79" t="s">
        <v>747</v>
      </c>
      <c r="U103" s="79"/>
      <c r="V103" s="79"/>
    </row>
    <row r="104" spans="1:22" s="61" customFormat="1" ht="15" customHeight="1" x14ac:dyDescent="0.25">
      <c r="A104" s="79"/>
      <c r="B104" s="79"/>
      <c r="C104" s="79"/>
      <c r="D104" s="79"/>
      <c r="E104" s="79"/>
      <c r="F104" s="79" t="s">
        <v>572</v>
      </c>
      <c r="G104" s="79" t="s">
        <v>898</v>
      </c>
      <c r="H104" s="80" t="s">
        <v>1085</v>
      </c>
      <c r="I104" s="79" t="s">
        <v>657</v>
      </c>
      <c r="J104" s="79" t="s">
        <v>97</v>
      </c>
      <c r="K104" s="79"/>
      <c r="L104" s="79" t="s">
        <v>462</v>
      </c>
      <c r="M104" s="79" t="s">
        <v>574</v>
      </c>
      <c r="N104" s="81" t="s">
        <v>570</v>
      </c>
      <c r="O104" s="79" t="s">
        <v>668</v>
      </c>
      <c r="P104" s="79" t="s">
        <v>669</v>
      </c>
      <c r="Q104" s="79"/>
      <c r="R104" s="79"/>
      <c r="S104" s="79" t="s">
        <v>661</v>
      </c>
      <c r="T104" s="79" t="s">
        <v>747</v>
      </c>
      <c r="U104" s="79"/>
      <c r="V104" s="79"/>
    </row>
    <row r="105" spans="1:22" s="61" customFormat="1" ht="15" customHeight="1" x14ac:dyDescent="0.25">
      <c r="A105" s="79"/>
      <c r="B105" s="79"/>
      <c r="C105" s="79"/>
      <c r="D105" s="79"/>
      <c r="E105" s="79" t="s">
        <v>81</v>
      </c>
      <c r="F105" s="79"/>
      <c r="G105" s="79"/>
      <c r="H105" s="80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</row>
    <row r="106" spans="1:22" s="61" customFormat="1" ht="15" customHeight="1" x14ac:dyDescent="0.25">
      <c r="A106" s="79"/>
      <c r="B106" s="79"/>
      <c r="C106" s="79"/>
      <c r="D106" s="79"/>
      <c r="E106" s="79"/>
      <c r="F106" s="79" t="s">
        <v>900</v>
      </c>
      <c r="G106" s="79" t="s">
        <v>901</v>
      </c>
      <c r="H106" s="80" t="s">
        <v>1086</v>
      </c>
      <c r="I106" s="79" t="s">
        <v>654</v>
      </c>
      <c r="J106" s="79" t="s">
        <v>98</v>
      </c>
      <c r="K106" s="79"/>
      <c r="L106" s="79" t="s">
        <v>177</v>
      </c>
      <c r="M106" s="79" t="s">
        <v>902</v>
      </c>
      <c r="N106" s="81" t="s">
        <v>590</v>
      </c>
      <c r="O106" s="79" t="s">
        <v>668</v>
      </c>
      <c r="P106" s="79" t="s">
        <v>669</v>
      </c>
      <c r="Q106" s="79"/>
      <c r="R106" s="79"/>
      <c r="S106" s="79" t="s">
        <v>660</v>
      </c>
      <c r="T106" s="79" t="s">
        <v>671</v>
      </c>
      <c r="U106" s="79"/>
      <c r="V106" s="79"/>
    </row>
    <row r="107" spans="1:22" s="61" customFormat="1" ht="15" customHeight="1" x14ac:dyDescent="0.25">
      <c r="A107" s="79"/>
      <c r="B107" s="79"/>
      <c r="C107" s="79"/>
      <c r="D107" s="79"/>
      <c r="E107" s="79"/>
      <c r="F107" s="79" t="s">
        <v>903</v>
      </c>
      <c r="G107" s="79" t="s">
        <v>904</v>
      </c>
      <c r="H107" s="80" t="s">
        <v>1087</v>
      </c>
      <c r="I107" s="79" t="s">
        <v>654</v>
      </c>
      <c r="J107" s="79" t="s">
        <v>98</v>
      </c>
      <c r="K107" s="79"/>
      <c r="L107" s="79" t="s">
        <v>177</v>
      </c>
      <c r="M107" s="79" t="s">
        <v>905</v>
      </c>
      <c r="N107" s="81" t="s">
        <v>590</v>
      </c>
      <c r="O107" s="79" t="s">
        <v>668</v>
      </c>
      <c r="P107" s="79" t="s">
        <v>669</v>
      </c>
      <c r="Q107" s="79"/>
      <c r="R107" s="79" t="s">
        <v>670</v>
      </c>
      <c r="S107" s="79" t="s">
        <v>660</v>
      </c>
      <c r="T107" s="79" t="s">
        <v>671</v>
      </c>
      <c r="U107" s="79"/>
      <c r="V107" s="79"/>
    </row>
    <row r="108" spans="1:22" s="61" customFormat="1" ht="15" customHeight="1" x14ac:dyDescent="0.25">
      <c r="A108" s="79"/>
      <c r="B108" s="79"/>
      <c r="C108" s="79"/>
      <c r="D108" s="79"/>
      <c r="E108" s="79"/>
      <c r="F108" s="79" t="s">
        <v>593</v>
      </c>
      <c r="G108" s="79" t="s">
        <v>906</v>
      </c>
      <c r="H108" s="80" t="s">
        <v>1088</v>
      </c>
      <c r="I108" s="79" t="s">
        <v>654</v>
      </c>
      <c r="J108" s="79" t="s">
        <v>98</v>
      </c>
      <c r="K108" s="79"/>
      <c r="L108" s="79" t="s">
        <v>261</v>
      </c>
      <c r="M108" s="79" t="s">
        <v>908</v>
      </c>
      <c r="N108" s="81" t="s">
        <v>595</v>
      </c>
      <c r="O108" s="79" t="s">
        <v>668</v>
      </c>
      <c r="P108" s="79" t="s">
        <v>669</v>
      </c>
      <c r="Q108" s="79"/>
      <c r="R108" s="79"/>
      <c r="S108" s="79" t="s">
        <v>660</v>
      </c>
      <c r="T108" s="79" t="s">
        <v>671</v>
      </c>
      <c r="U108" s="79"/>
      <c r="V108" s="79"/>
    </row>
    <row r="109" spans="1:22" s="61" customFormat="1" ht="15" customHeight="1" x14ac:dyDescent="0.25">
      <c r="A109" s="79"/>
      <c r="B109" s="79"/>
      <c r="C109" s="79"/>
      <c r="D109" s="79"/>
      <c r="E109" s="79"/>
      <c r="F109" s="79" t="s">
        <v>597</v>
      </c>
      <c r="G109" s="79" t="s">
        <v>909</v>
      </c>
      <c r="H109" s="80" t="s">
        <v>1089</v>
      </c>
      <c r="I109" s="79" t="s">
        <v>654</v>
      </c>
      <c r="J109" s="79" t="s">
        <v>98</v>
      </c>
      <c r="K109" s="79"/>
      <c r="L109" s="79" t="s">
        <v>462</v>
      </c>
      <c r="M109" s="79" t="s">
        <v>601</v>
      </c>
      <c r="N109" s="81" t="s">
        <v>602</v>
      </c>
      <c r="O109" s="79" t="s">
        <v>668</v>
      </c>
      <c r="P109" s="79" t="s">
        <v>669</v>
      </c>
      <c r="Q109" s="79"/>
      <c r="R109" s="79"/>
      <c r="S109" s="79" t="s">
        <v>660</v>
      </c>
      <c r="T109" s="79" t="s">
        <v>671</v>
      </c>
      <c r="U109" s="79"/>
      <c r="V109" s="79"/>
    </row>
    <row r="110" spans="1:22" s="61" customFormat="1" ht="15" customHeight="1" x14ac:dyDescent="0.25">
      <c r="A110" s="79"/>
      <c r="B110" s="79"/>
      <c r="C110" s="79"/>
      <c r="D110" s="79"/>
      <c r="E110" s="79"/>
      <c r="F110" s="79" t="s">
        <v>599</v>
      </c>
      <c r="G110" s="79" t="s">
        <v>911</v>
      </c>
      <c r="H110" s="80" t="s">
        <v>1090</v>
      </c>
      <c r="I110" s="79" t="s">
        <v>654</v>
      </c>
      <c r="J110" s="79" t="s">
        <v>98</v>
      </c>
      <c r="K110" s="79"/>
      <c r="L110" s="79" t="s">
        <v>462</v>
      </c>
      <c r="M110" s="79" t="s">
        <v>603</v>
      </c>
      <c r="N110" s="81" t="s">
        <v>604</v>
      </c>
      <c r="O110" s="79" t="s">
        <v>668</v>
      </c>
      <c r="P110" s="79" t="s">
        <v>669</v>
      </c>
      <c r="Q110" s="79"/>
      <c r="R110" s="79"/>
      <c r="S110" s="79" t="s">
        <v>660</v>
      </c>
      <c r="T110" s="79" t="s">
        <v>671</v>
      </c>
      <c r="U110" s="79"/>
      <c r="V110" s="79"/>
    </row>
    <row r="111" spans="1:22" s="61" customFormat="1" ht="15" customHeight="1" x14ac:dyDescent="0.25">
      <c r="A111" s="79"/>
      <c r="B111" s="79"/>
      <c r="C111" s="79"/>
      <c r="D111" s="79"/>
      <c r="E111" s="79"/>
      <c r="F111" s="79" t="s">
        <v>913</v>
      </c>
      <c r="G111" s="79" t="s">
        <v>914</v>
      </c>
      <c r="H111" s="80" t="s">
        <v>1091</v>
      </c>
      <c r="I111" s="79" t="s">
        <v>655</v>
      </c>
      <c r="J111" s="79" t="s">
        <v>98</v>
      </c>
      <c r="K111" s="79"/>
      <c r="L111" s="79" t="s">
        <v>462</v>
      </c>
      <c r="M111" s="79" t="s">
        <v>916</v>
      </c>
      <c r="N111" s="81" t="s">
        <v>611</v>
      </c>
      <c r="O111" s="79" t="s">
        <v>668</v>
      </c>
      <c r="P111" s="79" t="s">
        <v>669</v>
      </c>
      <c r="Q111" s="79"/>
      <c r="R111" s="79"/>
      <c r="S111" s="79" t="s">
        <v>660</v>
      </c>
      <c r="T111" s="79" t="s">
        <v>671</v>
      </c>
      <c r="U111" s="79"/>
      <c r="V111" s="79"/>
    </row>
    <row r="112" spans="1:22" s="61" customFormat="1" ht="15" customHeight="1" x14ac:dyDescent="0.25">
      <c r="A112" s="79"/>
      <c r="B112" s="79"/>
      <c r="C112" s="79"/>
      <c r="D112" s="79"/>
      <c r="E112" s="79"/>
      <c r="F112" s="79" t="s">
        <v>917</v>
      </c>
      <c r="G112" s="79" t="s">
        <v>918</v>
      </c>
      <c r="H112" s="80" t="s">
        <v>1092</v>
      </c>
      <c r="I112" s="79" t="s">
        <v>656</v>
      </c>
      <c r="J112" s="79" t="s">
        <v>98</v>
      </c>
      <c r="K112" s="79"/>
      <c r="L112" s="79" t="s">
        <v>462</v>
      </c>
      <c r="M112" s="79" t="s">
        <v>920</v>
      </c>
      <c r="N112" s="81" t="s">
        <v>611</v>
      </c>
      <c r="O112" s="79" t="s">
        <v>668</v>
      </c>
      <c r="P112" s="79" t="s">
        <v>669</v>
      </c>
      <c r="Q112" s="79"/>
      <c r="R112" s="79"/>
      <c r="S112" s="79" t="s">
        <v>662</v>
      </c>
      <c r="T112" s="79" t="s">
        <v>747</v>
      </c>
      <c r="U112" s="79"/>
      <c r="V112" s="79"/>
    </row>
    <row r="113" spans="1:22" s="61" customFormat="1" ht="15" customHeight="1" x14ac:dyDescent="0.25">
      <c r="A113" s="79"/>
      <c r="B113" s="79"/>
      <c r="C113" s="79"/>
      <c r="D113" s="79"/>
      <c r="E113" s="79"/>
      <c r="F113" s="79" t="s">
        <v>921</v>
      </c>
      <c r="G113" s="79" t="s">
        <v>922</v>
      </c>
      <c r="H113" s="80" t="s">
        <v>1093</v>
      </c>
      <c r="I113" s="79" t="s">
        <v>656</v>
      </c>
      <c r="J113" s="79" t="s">
        <v>98</v>
      </c>
      <c r="K113" s="79"/>
      <c r="L113" s="79" t="s">
        <v>462</v>
      </c>
      <c r="M113" s="79" t="s">
        <v>924</v>
      </c>
      <c r="N113" s="81" t="s">
        <v>611</v>
      </c>
      <c r="O113" s="79" t="s">
        <v>668</v>
      </c>
      <c r="P113" s="79" t="s">
        <v>669</v>
      </c>
      <c r="Q113" s="79"/>
      <c r="R113" s="79"/>
      <c r="S113" s="79" t="s">
        <v>662</v>
      </c>
      <c r="T113" s="79" t="s">
        <v>747</v>
      </c>
      <c r="U113" s="79"/>
      <c r="V113" s="79"/>
    </row>
    <row r="114" spans="1:22" s="61" customFormat="1" ht="15" customHeight="1" x14ac:dyDescent="0.25">
      <c r="A114" s="79"/>
      <c r="B114" s="79"/>
      <c r="C114" s="79"/>
      <c r="D114" s="79"/>
      <c r="E114" s="79"/>
      <c r="F114" s="79" t="s">
        <v>925</v>
      </c>
      <c r="G114" s="79" t="s">
        <v>926</v>
      </c>
      <c r="H114" s="80" t="s">
        <v>1094</v>
      </c>
      <c r="I114" s="79" t="s">
        <v>656</v>
      </c>
      <c r="J114" s="79" t="s">
        <v>98</v>
      </c>
      <c r="K114" s="79"/>
      <c r="L114" s="79" t="s">
        <v>462</v>
      </c>
      <c r="M114" s="79" t="s">
        <v>928</v>
      </c>
      <c r="N114" s="81" t="s">
        <v>619</v>
      </c>
      <c r="O114" s="79" t="s">
        <v>668</v>
      </c>
      <c r="P114" s="79" t="s">
        <v>669</v>
      </c>
      <c r="Q114" s="79"/>
      <c r="R114" s="79"/>
      <c r="S114" s="79" t="s">
        <v>662</v>
      </c>
      <c r="T114" s="79" t="s">
        <v>747</v>
      </c>
      <c r="U114" s="79"/>
      <c r="V114" s="79"/>
    </row>
    <row r="115" spans="1:22" s="61" customFormat="1" ht="15" customHeight="1" x14ac:dyDescent="0.25">
      <c r="A115" s="79"/>
      <c r="B115" s="79"/>
      <c r="C115" s="79"/>
      <c r="D115" s="79"/>
      <c r="E115" s="79"/>
      <c r="F115" s="79" t="s">
        <v>929</v>
      </c>
      <c r="G115" s="79" t="s">
        <v>930</v>
      </c>
      <c r="H115" s="80" t="s">
        <v>1095</v>
      </c>
      <c r="I115" s="79" t="s">
        <v>656</v>
      </c>
      <c r="J115" s="79" t="s">
        <v>98</v>
      </c>
      <c r="K115" s="79"/>
      <c r="L115" s="79" t="s">
        <v>462</v>
      </c>
      <c r="M115" s="79" t="s">
        <v>931</v>
      </c>
      <c r="N115" s="81" t="s">
        <v>619</v>
      </c>
      <c r="O115" s="79" t="s">
        <v>668</v>
      </c>
      <c r="P115" s="79" t="s">
        <v>669</v>
      </c>
      <c r="Q115" s="79"/>
      <c r="R115" s="79"/>
      <c r="S115" s="79" t="s">
        <v>662</v>
      </c>
      <c r="T115" s="79" t="s">
        <v>747</v>
      </c>
      <c r="U115" s="79"/>
      <c r="V115" s="79"/>
    </row>
    <row r="116" spans="1:22" s="61" customFormat="1" ht="15" customHeight="1" x14ac:dyDescent="0.25">
      <c r="A116" s="79"/>
      <c r="B116" s="79"/>
      <c r="C116" s="79"/>
      <c r="D116" s="79"/>
      <c r="E116" s="79"/>
      <c r="F116" s="79" t="s">
        <v>932</v>
      </c>
      <c r="G116" s="79" t="s">
        <v>933</v>
      </c>
      <c r="H116" s="80" t="s">
        <v>1096</v>
      </c>
      <c r="I116" s="79" t="s">
        <v>656</v>
      </c>
      <c r="J116" s="79" t="s">
        <v>98</v>
      </c>
      <c r="K116" s="79"/>
      <c r="L116" s="79" t="s">
        <v>462</v>
      </c>
      <c r="M116" s="79" t="s">
        <v>934</v>
      </c>
      <c r="N116" s="81" t="s">
        <v>619</v>
      </c>
      <c r="O116" s="79" t="s">
        <v>668</v>
      </c>
      <c r="P116" s="79" t="s">
        <v>669</v>
      </c>
      <c r="Q116" s="79"/>
      <c r="R116" s="79"/>
      <c r="S116" s="79" t="s">
        <v>662</v>
      </c>
      <c r="T116" s="79" t="s">
        <v>747</v>
      </c>
      <c r="U116" s="79"/>
      <c r="V116" s="79"/>
    </row>
    <row r="117" spans="1:22" s="61" customFormat="1" ht="15" customHeight="1" x14ac:dyDescent="0.25">
      <c r="A117" s="79"/>
      <c r="B117" s="79"/>
      <c r="C117" s="79"/>
      <c r="D117" s="79"/>
      <c r="E117" s="79"/>
      <c r="F117" s="79" t="s">
        <v>935</v>
      </c>
      <c r="G117" s="79" t="s">
        <v>936</v>
      </c>
      <c r="H117" s="80" t="s">
        <v>1097</v>
      </c>
      <c r="I117" s="79" t="s">
        <v>656</v>
      </c>
      <c r="J117" s="79" t="s">
        <v>98</v>
      </c>
      <c r="K117" s="79"/>
      <c r="L117" s="79" t="s">
        <v>462</v>
      </c>
      <c r="M117" s="79" t="s">
        <v>937</v>
      </c>
      <c r="N117" s="81" t="s">
        <v>619</v>
      </c>
      <c r="O117" s="79" t="s">
        <v>668</v>
      </c>
      <c r="P117" s="79" t="s">
        <v>669</v>
      </c>
      <c r="Q117" s="79"/>
      <c r="R117" s="79"/>
      <c r="S117" s="79" t="s">
        <v>662</v>
      </c>
      <c r="T117" s="79" t="s">
        <v>747</v>
      </c>
      <c r="U117" s="79"/>
      <c r="V117" s="79"/>
    </row>
    <row r="118" spans="1:22" s="61" customFormat="1" ht="15" customHeight="1" x14ac:dyDescent="0.25">
      <c r="A118" s="79"/>
      <c r="B118" s="79"/>
      <c r="C118" s="79"/>
      <c r="D118" s="79"/>
      <c r="E118" s="79"/>
      <c r="F118" s="79" t="s">
        <v>938</v>
      </c>
      <c r="G118" s="79" t="s">
        <v>939</v>
      </c>
      <c r="H118" s="80" t="s">
        <v>1098</v>
      </c>
      <c r="I118" s="79" t="s">
        <v>656</v>
      </c>
      <c r="J118" s="79" t="s">
        <v>98</v>
      </c>
      <c r="K118" s="79"/>
      <c r="L118" s="79" t="s">
        <v>462</v>
      </c>
      <c r="M118" s="79" t="s">
        <v>940</v>
      </c>
      <c r="N118" s="81" t="s">
        <v>611</v>
      </c>
      <c r="O118" s="79" t="s">
        <v>668</v>
      </c>
      <c r="P118" s="79" t="s">
        <v>669</v>
      </c>
      <c r="Q118" s="79"/>
      <c r="R118" s="79"/>
      <c r="S118" s="79" t="s">
        <v>662</v>
      </c>
      <c r="T118" s="79" t="s">
        <v>747</v>
      </c>
      <c r="U118" s="79"/>
      <c r="V118" s="79"/>
    </row>
    <row r="119" spans="1:22" s="61" customFormat="1" ht="15" customHeight="1" x14ac:dyDescent="0.25">
      <c r="A119" s="79"/>
      <c r="B119" s="79"/>
      <c r="C119" s="79"/>
      <c r="D119" s="79"/>
      <c r="E119" s="79"/>
      <c r="F119" s="79" t="s">
        <v>941</v>
      </c>
      <c r="G119" s="79" t="s">
        <v>942</v>
      </c>
      <c r="H119" s="80" t="s">
        <v>1099</v>
      </c>
      <c r="I119" s="79" t="s">
        <v>656</v>
      </c>
      <c r="J119" s="79" t="s">
        <v>98</v>
      </c>
      <c r="K119" s="79"/>
      <c r="L119" s="79" t="s">
        <v>462</v>
      </c>
      <c r="M119" s="81" t="s">
        <v>943</v>
      </c>
      <c r="N119" s="81" t="s">
        <v>611</v>
      </c>
      <c r="O119" s="79" t="s">
        <v>668</v>
      </c>
      <c r="P119" s="79" t="s">
        <v>669</v>
      </c>
      <c r="Q119" s="79"/>
      <c r="R119" s="79"/>
      <c r="S119" s="79" t="s">
        <v>662</v>
      </c>
      <c r="T119" s="79" t="s">
        <v>747</v>
      </c>
      <c r="U119" s="79"/>
      <c r="V119" s="79"/>
    </row>
    <row r="120" spans="1:22" s="61" customFormat="1" ht="15" customHeight="1" x14ac:dyDescent="0.25">
      <c r="A120" s="79"/>
      <c r="B120" s="79"/>
      <c r="C120" s="79"/>
      <c r="D120" s="79"/>
      <c r="E120" s="79"/>
      <c r="F120" s="79" t="s">
        <v>944</v>
      </c>
      <c r="G120" s="79" t="s">
        <v>945</v>
      </c>
      <c r="H120" s="80" t="s">
        <v>1100</v>
      </c>
      <c r="I120" s="79" t="s">
        <v>656</v>
      </c>
      <c r="J120" s="79" t="s">
        <v>98</v>
      </c>
      <c r="K120" s="79"/>
      <c r="L120" s="79" t="s">
        <v>462</v>
      </c>
      <c r="M120" s="81" t="s">
        <v>946</v>
      </c>
      <c r="N120" s="81" t="s">
        <v>611</v>
      </c>
      <c r="O120" s="79" t="s">
        <v>668</v>
      </c>
      <c r="P120" s="79" t="s">
        <v>669</v>
      </c>
      <c r="Q120" s="79"/>
      <c r="R120" s="79"/>
      <c r="S120" s="79" t="s">
        <v>662</v>
      </c>
      <c r="T120" s="79" t="s">
        <v>747</v>
      </c>
      <c r="U120" s="79"/>
      <c r="V120" s="79"/>
    </row>
    <row r="121" spans="1:22" s="61" customFormat="1" ht="15" customHeight="1" x14ac:dyDescent="0.25">
      <c r="A121" s="79"/>
      <c r="B121" s="79"/>
      <c r="C121" s="79"/>
      <c r="D121" s="79"/>
      <c r="E121" s="79"/>
      <c r="F121" s="79" t="s">
        <v>947</v>
      </c>
      <c r="G121" s="79" t="s">
        <v>948</v>
      </c>
      <c r="H121" s="80" t="s">
        <v>1101</v>
      </c>
      <c r="I121" s="79" t="s">
        <v>656</v>
      </c>
      <c r="J121" s="79" t="s">
        <v>98</v>
      </c>
      <c r="K121" s="79"/>
      <c r="L121" s="79" t="s">
        <v>462</v>
      </c>
      <c r="M121" s="81" t="s">
        <v>949</v>
      </c>
      <c r="N121" s="81" t="s">
        <v>611</v>
      </c>
      <c r="O121" s="79" t="s">
        <v>668</v>
      </c>
      <c r="P121" s="79" t="s">
        <v>669</v>
      </c>
      <c r="Q121" s="79"/>
      <c r="R121" s="79"/>
      <c r="S121" s="79" t="s">
        <v>662</v>
      </c>
      <c r="T121" s="79" t="s">
        <v>747</v>
      </c>
      <c r="U121" s="79"/>
      <c r="V121" s="79"/>
    </row>
    <row r="122" spans="1:22" s="61" customFormat="1" ht="15" customHeight="1" x14ac:dyDescent="0.25">
      <c r="A122" s="79"/>
      <c r="B122" s="79"/>
      <c r="C122" s="79"/>
      <c r="D122" s="79"/>
      <c r="E122" s="79"/>
      <c r="F122" s="79" t="s">
        <v>629</v>
      </c>
      <c r="G122" s="79" t="s">
        <v>950</v>
      </c>
      <c r="H122" s="80" t="s">
        <v>1102</v>
      </c>
      <c r="I122" s="79" t="s">
        <v>656</v>
      </c>
      <c r="J122" s="79" t="s">
        <v>98</v>
      </c>
      <c r="K122" s="79"/>
      <c r="L122" s="79" t="s">
        <v>462</v>
      </c>
      <c r="M122" s="79" t="s">
        <v>951</v>
      </c>
      <c r="N122" s="81" t="s">
        <v>632</v>
      </c>
      <c r="O122" s="79" t="s">
        <v>668</v>
      </c>
      <c r="P122" s="79" t="s">
        <v>669</v>
      </c>
      <c r="Q122" s="79"/>
      <c r="R122" s="79"/>
      <c r="S122" s="79" t="s">
        <v>662</v>
      </c>
      <c r="T122" s="79" t="s">
        <v>747</v>
      </c>
      <c r="U122" s="79"/>
      <c r="V122" s="79"/>
    </row>
  </sheetData>
  <autoFilter ref="A1:AV122"/>
  <phoneticPr fontId="1" type="noConversion"/>
  <dataValidations count="2">
    <dataValidation type="list" allowBlank="1" showInputMessage="1" showErrorMessage="1" sqref="I1:I1048576">
      <formula1>$AH$1:$AN$1</formula1>
    </dataValidation>
    <dataValidation type="list" allowBlank="1" showInputMessage="1" showErrorMessage="1" sqref="S1:S1048576">
      <formula1>$AP$1:$AU$1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47"/>
  <sheetViews>
    <sheetView workbookViewId="0">
      <selection activeCell="F14" sqref="F14"/>
    </sheetView>
  </sheetViews>
  <sheetFormatPr defaultColWidth="9" defaultRowHeight="14" x14ac:dyDescent="0.25"/>
  <cols>
    <col min="1" max="1" width="16.6328125" style="61" customWidth="1"/>
    <col min="2" max="3" width="16.6328125" style="32" customWidth="1"/>
    <col min="4" max="5" width="16.6328125" style="61" customWidth="1"/>
    <col min="6" max="6" width="47.90625" style="61" customWidth="1"/>
    <col min="7" max="14" width="9" style="61" customWidth="1"/>
    <col min="15" max="16384" width="9" style="61"/>
  </cols>
  <sheetData>
    <row r="1" spans="1:5" x14ac:dyDescent="0.25">
      <c r="A1" s="23" t="s">
        <v>967</v>
      </c>
      <c r="B1" s="24"/>
      <c r="C1" s="24"/>
    </row>
    <row r="2" spans="1:5" x14ac:dyDescent="0.25">
      <c r="A2" s="25" t="s">
        <v>968</v>
      </c>
      <c r="B2" s="26" t="s">
        <v>969</v>
      </c>
      <c r="C2" s="26" t="s">
        <v>970</v>
      </c>
    </row>
    <row r="3" spans="1:5" x14ac:dyDescent="0.25">
      <c r="A3" s="17" t="s">
        <v>971</v>
      </c>
      <c r="B3" s="69" t="s">
        <v>972</v>
      </c>
      <c r="C3" s="27">
        <f>C$9+C$10</f>
        <v>0.14678899082568808</v>
      </c>
    </row>
    <row r="4" spans="1:5" x14ac:dyDescent="0.25">
      <c r="A4" s="17" t="s">
        <v>973</v>
      </c>
      <c r="B4" s="69" t="s">
        <v>974</v>
      </c>
      <c r="C4" s="27">
        <f>C$11+C$12</f>
        <v>0.5321100917431193</v>
      </c>
    </row>
    <row r="5" spans="1:5" x14ac:dyDescent="0.25">
      <c r="A5" s="17" t="s">
        <v>975</v>
      </c>
      <c r="B5" s="69" t="s">
        <v>976</v>
      </c>
      <c r="C5" s="27">
        <f>C$9+C$10+C$11+C$12</f>
        <v>0.67889908256880738</v>
      </c>
    </row>
    <row r="6" spans="1:5" ht="13.5" customHeight="1" x14ac:dyDescent="0.25">
      <c r="A6" s="25" t="s">
        <v>977</v>
      </c>
      <c r="B6" s="28">
        <f>E9/SUM(E9:E10)</f>
        <v>0.67889908256880738</v>
      </c>
      <c r="C6" s="29"/>
    </row>
    <row r="7" spans="1:5" x14ac:dyDescent="0.25">
      <c r="A7" s="30" t="s">
        <v>978</v>
      </c>
      <c r="B7" s="30"/>
      <c r="C7" s="30"/>
      <c r="D7" s="30"/>
      <c r="E7" s="30"/>
    </row>
    <row r="8" spans="1:5" x14ac:dyDescent="0.25">
      <c r="A8" s="30" t="s">
        <v>968</v>
      </c>
      <c r="B8" s="30" t="s">
        <v>979</v>
      </c>
      <c r="C8" s="30" t="s">
        <v>980</v>
      </c>
      <c r="D8" s="30" t="s">
        <v>981</v>
      </c>
      <c r="E8" s="30" t="s">
        <v>979</v>
      </c>
    </row>
    <row r="9" spans="1:5" x14ac:dyDescent="0.25">
      <c r="A9" s="30" t="s">
        <v>652</v>
      </c>
      <c r="B9" s="30">
        <f>COUNTIF(用例全集!$I:$I,A9)</f>
        <v>14</v>
      </c>
      <c r="C9" s="31">
        <f t="shared" ref="C9:C15" si="0">B9/SUM(B$9:B$15)</f>
        <v>0.12844036697247707</v>
      </c>
      <c r="D9" s="30" t="s">
        <v>671</v>
      </c>
      <c r="E9" s="30">
        <f>COUNTIF(用例全集!$T:$T,D9)</f>
        <v>74</v>
      </c>
    </row>
    <row r="10" spans="1:5" x14ac:dyDescent="0.25">
      <c r="A10" s="30" t="s">
        <v>653</v>
      </c>
      <c r="B10" s="30">
        <f>COUNTIF(用例全集!$I:$I,A10)</f>
        <v>2</v>
      </c>
      <c r="C10" s="31">
        <f t="shared" si="0"/>
        <v>1.834862385321101E-2</v>
      </c>
      <c r="D10" s="30" t="s">
        <v>747</v>
      </c>
      <c r="E10" s="30">
        <f>COUNTIF(用例全集!$T:$T,D10)</f>
        <v>35</v>
      </c>
    </row>
    <row r="11" spans="1:5" x14ac:dyDescent="0.25">
      <c r="A11" s="30" t="s">
        <v>654</v>
      </c>
      <c r="B11" s="30">
        <f>COUNTIF(用例全集!$I:$I,A11)</f>
        <v>52</v>
      </c>
      <c r="C11" s="31">
        <f t="shared" si="0"/>
        <v>0.47706422018348627</v>
      </c>
      <c r="D11" s="30"/>
      <c r="E11" s="30"/>
    </row>
    <row r="12" spans="1:5" x14ac:dyDescent="0.25">
      <c r="A12" s="30" t="s">
        <v>655</v>
      </c>
      <c r="B12" s="30">
        <f>COUNTIF(用例全集!$I:$I,A12)</f>
        <v>6</v>
      </c>
      <c r="C12" s="31">
        <f t="shared" si="0"/>
        <v>5.5045871559633031E-2</v>
      </c>
      <c r="D12" s="30"/>
      <c r="E12" s="30"/>
    </row>
    <row r="13" spans="1:5" x14ac:dyDescent="0.25">
      <c r="A13" s="30" t="s">
        <v>656</v>
      </c>
      <c r="B13" s="30">
        <f>COUNTIF(用例全集!$I:$I,A13)</f>
        <v>28</v>
      </c>
      <c r="C13" s="31">
        <f t="shared" si="0"/>
        <v>0.25688073394495414</v>
      </c>
      <c r="D13" s="30"/>
      <c r="E13" s="30"/>
    </row>
    <row r="14" spans="1:5" x14ac:dyDescent="0.25">
      <c r="A14" s="30" t="s">
        <v>657</v>
      </c>
      <c r="B14" s="30">
        <f>COUNTIF(用例全集!$I:$I,A14)</f>
        <v>6</v>
      </c>
      <c r="C14" s="31">
        <f t="shared" si="0"/>
        <v>5.5045871559633031E-2</v>
      </c>
      <c r="D14" s="30"/>
      <c r="E14" s="30"/>
    </row>
    <row r="15" spans="1:5" x14ac:dyDescent="0.25">
      <c r="A15" s="30" t="s">
        <v>658</v>
      </c>
      <c r="B15" s="30">
        <f>COUNTIF(用例全集!$I:$I,A15)</f>
        <v>1</v>
      </c>
      <c r="C15" s="31">
        <f t="shared" si="0"/>
        <v>9.1743119266055051E-3</v>
      </c>
      <c r="D15" s="30"/>
      <c r="E15" s="30"/>
    </row>
    <row r="16" spans="1:5" x14ac:dyDescent="0.25">
      <c r="A16" s="30" t="s">
        <v>982</v>
      </c>
      <c r="B16" s="30">
        <f>SUM(B9:B15)</f>
        <v>109</v>
      </c>
      <c r="C16" s="31"/>
      <c r="D16" s="30"/>
      <c r="E16" s="30"/>
    </row>
    <row r="17" spans="1:6" x14ac:dyDescent="0.25">
      <c r="B17" s="61"/>
      <c r="C17" s="61"/>
    </row>
    <row r="18" spans="1:6" x14ac:dyDescent="0.25">
      <c r="C18" s="24"/>
    </row>
    <row r="19" spans="1:6" x14ac:dyDescent="0.25">
      <c r="A19" s="23" t="s">
        <v>983</v>
      </c>
      <c r="C19" s="24"/>
    </row>
    <row r="20" spans="1:6" x14ac:dyDescent="0.25">
      <c r="A20" s="32" t="s">
        <v>984</v>
      </c>
      <c r="B20" s="24" t="s">
        <v>985</v>
      </c>
      <c r="C20" s="24"/>
    </row>
    <row r="21" spans="1:6" x14ac:dyDescent="0.25">
      <c r="C21" s="24"/>
    </row>
    <row r="22" spans="1:6" x14ac:dyDescent="0.25">
      <c r="A22" s="33" t="s">
        <v>986</v>
      </c>
    </row>
    <row r="23" spans="1:6" x14ac:dyDescent="0.25">
      <c r="A23" s="16" t="s">
        <v>637</v>
      </c>
      <c r="B23" s="145" t="s">
        <v>987</v>
      </c>
      <c r="C23" s="91"/>
      <c r="D23" s="91"/>
      <c r="E23" s="91"/>
      <c r="F23" s="92"/>
    </row>
    <row r="24" spans="1:6" x14ac:dyDescent="0.25">
      <c r="A24" s="146" t="s">
        <v>968</v>
      </c>
      <c r="B24" s="149" t="s">
        <v>988</v>
      </c>
      <c r="C24" s="91"/>
      <c r="D24" s="91"/>
      <c r="E24" s="91"/>
      <c r="F24" s="92"/>
    </row>
    <row r="25" spans="1:6" x14ac:dyDescent="0.25">
      <c r="A25" s="109"/>
      <c r="B25" s="69" t="s">
        <v>968</v>
      </c>
      <c r="C25" s="69" t="s">
        <v>989</v>
      </c>
      <c r="D25" s="147" t="s">
        <v>651</v>
      </c>
      <c r="E25" s="92"/>
      <c r="F25" s="15" t="s">
        <v>990</v>
      </c>
    </row>
    <row r="26" spans="1:6" x14ac:dyDescent="0.25">
      <c r="A26" s="109"/>
      <c r="B26" s="69" t="s">
        <v>652</v>
      </c>
      <c r="C26" s="69" t="s">
        <v>659</v>
      </c>
      <c r="D26" s="147" t="s">
        <v>991</v>
      </c>
      <c r="E26" s="92"/>
      <c r="F26" s="148" t="s">
        <v>992</v>
      </c>
    </row>
    <row r="27" spans="1:6" x14ac:dyDescent="0.25">
      <c r="A27" s="109"/>
      <c r="B27" s="69" t="s">
        <v>653</v>
      </c>
      <c r="C27" s="69" t="s">
        <v>993</v>
      </c>
      <c r="D27" s="147" t="s">
        <v>994</v>
      </c>
      <c r="E27" s="92"/>
      <c r="F27" s="109"/>
    </row>
    <row r="28" spans="1:6" x14ac:dyDescent="0.25">
      <c r="A28" s="109"/>
      <c r="B28" s="69" t="s">
        <v>654</v>
      </c>
      <c r="C28" s="69" t="s">
        <v>995</v>
      </c>
      <c r="D28" s="147" t="s">
        <v>996</v>
      </c>
      <c r="E28" s="92"/>
      <c r="F28" s="109"/>
    </row>
    <row r="29" spans="1:6" x14ac:dyDescent="0.25">
      <c r="A29" s="109"/>
      <c r="B29" s="69" t="s">
        <v>655</v>
      </c>
      <c r="C29" s="69" t="s">
        <v>997</v>
      </c>
      <c r="D29" s="147" t="s">
        <v>998</v>
      </c>
      <c r="E29" s="92"/>
      <c r="F29" s="109"/>
    </row>
    <row r="30" spans="1:6" x14ac:dyDescent="0.25">
      <c r="A30" s="109"/>
      <c r="B30" s="69" t="s">
        <v>656</v>
      </c>
      <c r="C30" s="69" t="s">
        <v>999</v>
      </c>
      <c r="D30" s="147" t="s">
        <v>1000</v>
      </c>
      <c r="E30" s="92"/>
      <c r="F30" s="109"/>
    </row>
    <row r="31" spans="1:6" x14ac:dyDescent="0.25">
      <c r="A31" s="109"/>
      <c r="B31" s="69" t="s">
        <v>657</v>
      </c>
      <c r="C31" s="69" t="s">
        <v>1001</v>
      </c>
      <c r="D31" s="147" t="s">
        <v>1002</v>
      </c>
      <c r="E31" s="92"/>
      <c r="F31" s="109"/>
    </row>
    <row r="32" spans="1:6" x14ac:dyDescent="0.25">
      <c r="A32" s="110"/>
      <c r="B32" s="69" t="s">
        <v>658</v>
      </c>
      <c r="C32" s="69" t="s">
        <v>1003</v>
      </c>
      <c r="D32" s="147" t="s">
        <v>1004</v>
      </c>
      <c r="E32" s="92"/>
      <c r="F32" s="110"/>
    </row>
    <row r="33" spans="1:6" x14ac:dyDescent="0.25">
      <c r="A33" s="71" t="s">
        <v>1005</v>
      </c>
      <c r="B33" s="145" t="s">
        <v>1006</v>
      </c>
      <c r="C33" s="91"/>
      <c r="D33" s="91"/>
      <c r="E33" s="91"/>
      <c r="F33" s="92"/>
    </row>
    <row r="34" spans="1:6" x14ac:dyDescent="0.25">
      <c r="A34" s="71" t="s">
        <v>641</v>
      </c>
      <c r="B34" s="145" t="s">
        <v>1007</v>
      </c>
      <c r="C34" s="91"/>
      <c r="D34" s="91"/>
      <c r="E34" s="91"/>
      <c r="F34" s="92"/>
    </row>
    <row r="35" spans="1:6" x14ac:dyDescent="0.25">
      <c r="A35" s="71" t="s">
        <v>173</v>
      </c>
      <c r="B35" s="145" t="s">
        <v>1007</v>
      </c>
      <c r="C35" s="91"/>
      <c r="D35" s="91"/>
      <c r="E35" s="91"/>
      <c r="F35" s="92"/>
    </row>
    <row r="36" spans="1:6" x14ac:dyDescent="0.25">
      <c r="A36" s="71" t="s">
        <v>174</v>
      </c>
      <c r="B36" s="145" t="s">
        <v>1008</v>
      </c>
      <c r="C36" s="91"/>
      <c r="D36" s="91"/>
      <c r="E36" s="91"/>
      <c r="F36" s="92"/>
    </row>
    <row r="37" spans="1:6" x14ac:dyDescent="0.25">
      <c r="A37" s="71" t="s">
        <v>175</v>
      </c>
      <c r="B37" s="145" t="s">
        <v>1009</v>
      </c>
      <c r="C37" s="91"/>
      <c r="D37" s="91"/>
      <c r="E37" s="91"/>
      <c r="F37" s="92"/>
    </row>
    <row r="38" spans="1:6" x14ac:dyDescent="0.25">
      <c r="A38" s="71" t="s">
        <v>1010</v>
      </c>
      <c r="B38" s="145" t="s">
        <v>1011</v>
      </c>
      <c r="C38" s="91"/>
      <c r="D38" s="91"/>
      <c r="E38" s="91"/>
      <c r="F38" s="92"/>
    </row>
    <row r="39" spans="1:6" x14ac:dyDescent="0.25">
      <c r="A39" s="71" t="s">
        <v>645</v>
      </c>
      <c r="B39" s="145" t="s">
        <v>1012</v>
      </c>
      <c r="C39" s="91"/>
      <c r="D39" s="91"/>
      <c r="E39" s="91"/>
      <c r="F39" s="92"/>
    </row>
    <row r="40" spans="1:6" x14ac:dyDescent="0.25">
      <c r="A40" s="71" t="s">
        <v>646</v>
      </c>
      <c r="B40" s="145" t="s">
        <v>1013</v>
      </c>
      <c r="C40" s="91"/>
      <c r="D40" s="91"/>
      <c r="E40" s="91"/>
      <c r="F40" s="92"/>
    </row>
    <row r="41" spans="1:6" x14ac:dyDescent="0.25">
      <c r="A41" s="71" t="s">
        <v>647</v>
      </c>
      <c r="B41" s="145" t="s">
        <v>1014</v>
      </c>
      <c r="C41" s="91"/>
      <c r="D41" s="91"/>
      <c r="E41" s="91"/>
      <c r="F41" s="92"/>
    </row>
    <row r="42" spans="1:6" x14ac:dyDescent="0.25">
      <c r="A42" s="71" t="s">
        <v>648</v>
      </c>
      <c r="B42" s="145" t="s">
        <v>1015</v>
      </c>
      <c r="C42" s="91"/>
      <c r="D42" s="91"/>
      <c r="E42" s="91"/>
      <c r="F42" s="92"/>
    </row>
    <row r="43" spans="1:6" x14ac:dyDescent="0.25">
      <c r="A43" s="71" t="s">
        <v>649</v>
      </c>
      <c r="B43" s="145" t="s">
        <v>1016</v>
      </c>
      <c r="C43" s="91"/>
      <c r="D43" s="91"/>
      <c r="E43" s="91"/>
      <c r="F43" s="92"/>
    </row>
    <row r="44" spans="1:6" x14ac:dyDescent="0.25">
      <c r="A44" s="71" t="s">
        <v>650</v>
      </c>
      <c r="B44" s="145" t="s">
        <v>1017</v>
      </c>
      <c r="C44" s="91"/>
      <c r="D44" s="91"/>
      <c r="E44" s="91"/>
      <c r="F44" s="92"/>
    </row>
    <row r="45" spans="1:6" x14ac:dyDescent="0.25">
      <c r="A45" s="71" t="s">
        <v>651</v>
      </c>
      <c r="B45" s="144" t="s">
        <v>1018</v>
      </c>
      <c r="C45" s="91"/>
      <c r="D45" s="91"/>
      <c r="E45" s="91"/>
      <c r="F45" s="92"/>
    </row>
    <row r="47" spans="1:6" x14ac:dyDescent="0.25">
      <c r="B47" s="35"/>
    </row>
  </sheetData>
  <mergeCells count="25">
    <mergeCell ref="B33:F33"/>
    <mergeCell ref="B34:F34"/>
    <mergeCell ref="B23:F23"/>
    <mergeCell ref="B24:F24"/>
    <mergeCell ref="D25:E25"/>
    <mergeCell ref="A24:A32"/>
    <mergeCell ref="D26:E26"/>
    <mergeCell ref="F26:F32"/>
    <mergeCell ref="D27:E27"/>
    <mergeCell ref="D28:E28"/>
    <mergeCell ref="D29:E29"/>
    <mergeCell ref="D30:E30"/>
    <mergeCell ref="D31:E31"/>
    <mergeCell ref="D32:E32"/>
    <mergeCell ref="B35:F35"/>
    <mergeCell ref="B36:F36"/>
    <mergeCell ref="B37:F37"/>
    <mergeCell ref="B38:F38"/>
    <mergeCell ref="B39:F39"/>
    <mergeCell ref="B45:F45"/>
    <mergeCell ref="B40:F40"/>
    <mergeCell ref="B41:F41"/>
    <mergeCell ref="B42:F42"/>
    <mergeCell ref="B43:F43"/>
    <mergeCell ref="B44:F44"/>
  </mergeCells>
  <phoneticPr fontId="1" type="noConversion"/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首页</vt:lpstr>
      <vt:lpstr>测试点分析</vt:lpstr>
      <vt:lpstr>测试组网设计</vt:lpstr>
      <vt:lpstr>路由配置</vt:lpstr>
      <vt:lpstr>静态路由</vt:lpstr>
      <vt:lpstr>直连路由</vt:lpstr>
      <vt:lpstr>路由转发</vt:lpstr>
      <vt:lpstr>单臂路由</vt:lpstr>
      <vt:lpstr>等价路由</vt:lpstr>
      <vt:lpstr>用例全集</vt:lpstr>
      <vt:lpstr>附录1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赵海波</cp:lastModifiedBy>
  <dcterms:created xsi:type="dcterms:W3CDTF">2006-09-13T11:21:51Z</dcterms:created>
  <dcterms:modified xsi:type="dcterms:W3CDTF">2022-01-11T11:19:46Z</dcterms:modified>
</cp:coreProperties>
</file>