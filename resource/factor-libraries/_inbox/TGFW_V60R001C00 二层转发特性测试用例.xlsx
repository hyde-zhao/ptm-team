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sdx" ContentType="application/vnd.ms-visio.drawing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01_svn\test\2.测试项目\1.在研项目\1.TGFW_V60R1C00\5.测试执行\15.B020\01.测试用例\"/>
    </mc:Choice>
  </mc:AlternateContent>
  <bookViews>
    <workbookView xWindow="-110" yWindow="-110" windowWidth="21800" windowHeight="13100" tabRatio="864" activeTab="7"/>
  </bookViews>
  <sheets>
    <sheet name="首页" sheetId="1" r:id="rId1"/>
    <sheet name="测试点分析" sheetId="2" r:id="rId2"/>
    <sheet name="测试组网设计" sheetId="3" r:id="rId3"/>
    <sheet name="MAC转发" sheetId="4" r:id="rId4"/>
    <sheet name="VLAN隔离" sheetId="5" r:id="rId5"/>
    <sheet name="动态MAC" sheetId="6" r:id="rId6"/>
    <sheet name="端口迁移" sheetId="7" r:id="rId7"/>
    <sheet name="用例全集" sheetId="8" r:id="rId8"/>
    <sheet name="附录1" sheetId="9" r:id="rId9"/>
  </sheets>
  <definedNames>
    <definedName name="_xlnm._FilterDatabase" localSheetId="7" hidden="1">用例全集!$A$1:$V$75</definedName>
  </definedNames>
  <calcPr calcId="162913"/>
</workbook>
</file>

<file path=xl/calcChain.xml><?xml version="1.0" encoding="utf-8"?>
<calcChain xmlns="http://schemas.openxmlformats.org/spreadsheetml/2006/main">
  <c r="B15" i="9" l="1"/>
  <c r="B14" i="9"/>
  <c r="B13" i="9"/>
  <c r="B12" i="9"/>
  <c r="B11" i="9"/>
  <c r="E10" i="9"/>
  <c r="B10" i="9"/>
  <c r="E9" i="9"/>
  <c r="B9" i="9"/>
  <c r="B6" i="9" l="1"/>
  <c r="C12" i="9"/>
  <c r="C15" i="9"/>
  <c r="C10" i="9"/>
  <c r="B16" i="9"/>
  <c r="C11" i="9"/>
  <c r="C13" i="9"/>
  <c r="C14" i="9"/>
  <c r="C9" i="9"/>
  <c r="C4" i="9" l="1"/>
  <c r="C5" i="9"/>
  <c r="C3" i="9"/>
</calcChain>
</file>

<file path=xl/comments1.xml><?xml version="1.0" encoding="utf-8"?>
<comments xmlns="http://schemas.openxmlformats.org/spreadsheetml/2006/main">
  <authors>
    <author>TGFW</author>
  </authors>
  <commentList>
    <comment ref="F63" authorId="0" shapeId="0">
      <text>
        <r>
          <rPr>
            <sz val="11"/>
            <color theme="1"/>
            <rFont val="宋体"/>
            <family val="2"/>
            <charset val="134"/>
            <scheme val="minor"/>
          </rPr>
          <t>TGFW:
考虑报文类型(非ip报文)，确认耦合矩阵——耦合在acl中</t>
        </r>
      </text>
    </comment>
    <comment ref="F70" authorId="0" shapeId="0">
      <text>
        <r>
          <rPr>
            <sz val="11"/>
            <color theme="1"/>
            <rFont val="宋体"/>
            <family val="2"/>
            <charset val="134"/>
            <scheme val="minor"/>
          </rPr>
          <t>TGFW:
学满之后表项行为-确认？</t>
        </r>
      </text>
    </comment>
  </commentList>
</comments>
</file>

<file path=xl/comments2.xml><?xml version="1.0" encoding="utf-8"?>
<comments xmlns="http://schemas.openxmlformats.org/spreadsheetml/2006/main">
  <authors>
    <author>TGFW</author>
  </authors>
  <commentList>
    <comment ref="G173" authorId="0" shapeId="0">
      <text>
        <r>
          <rPr>
            <sz val="11"/>
            <color theme="1"/>
            <rFont val="宋体"/>
            <family val="2"/>
            <charset val="134"/>
            <scheme val="minor"/>
          </rPr>
          <t>TGFW:
切换时IP配置是否清空-gl</t>
        </r>
      </text>
    </comment>
    <comment ref="E194" authorId="0" shapeId="0">
      <text>
        <r>
          <rPr>
            <sz val="11"/>
            <color theme="1"/>
            <rFont val="宋体"/>
            <family val="2"/>
            <charset val="134"/>
            <scheme val="minor"/>
          </rPr>
          <t>TGFW:
组件引擎重启？</t>
        </r>
      </text>
    </comment>
  </commentList>
</comments>
</file>

<file path=xl/comments3.xml><?xml version="1.0" encoding="utf-8"?>
<comments xmlns="http://schemas.openxmlformats.org/spreadsheetml/2006/main">
  <authors>
    <author>TGFW</author>
  </authors>
  <commentList>
    <comment ref="B2" authorId="0" shapeId="0">
      <text>
        <r>
          <rPr>
            <sz val="11"/>
            <color theme="1"/>
            <rFont val="宋体"/>
            <family val="2"/>
            <charset val="134"/>
            <scheme val="minor"/>
          </rPr>
          <t>TGFW:
打流时反复迁移-zhb</t>
        </r>
      </text>
    </comment>
    <comment ref="C9" authorId="0" shapeId="0">
      <text>
        <r>
          <rPr>
            <sz val="11"/>
            <color theme="1"/>
            <rFont val="宋体"/>
            <family val="2"/>
            <charset val="134"/>
            <scheme val="minor"/>
          </rPr>
          <t>TGFW:
在其他地方覆盖</t>
        </r>
      </text>
    </comment>
  </commentList>
</comments>
</file>

<file path=xl/sharedStrings.xml><?xml version="1.0" encoding="utf-8"?>
<sst xmlns="http://schemas.openxmlformats.org/spreadsheetml/2006/main" count="2168" uniqueCount="691">
  <si>
    <t>TGFW V60R001C00 
二层转发特性测试用例</t>
  </si>
  <si>
    <t>拟定</t>
  </si>
  <si>
    <t>李源源</t>
  </si>
  <si>
    <t>日期</t>
  </si>
  <si>
    <t>审核</t>
  </si>
  <si>
    <t>XXXX/XX/XX</t>
  </si>
  <si>
    <t>批准</t>
  </si>
  <si>
    <t>修订记录</t>
  </si>
  <si>
    <t>修订版本</t>
  </si>
  <si>
    <t>修改记录</t>
  </si>
  <si>
    <t>修改人</t>
  </si>
  <si>
    <t>V1.0</t>
  </si>
  <si>
    <t>初稿输出</t>
  </si>
  <si>
    <t>四级目录</t>
  </si>
  <si>
    <t>五级目录</t>
  </si>
  <si>
    <t>测试点</t>
  </si>
  <si>
    <t>测试设计方法</t>
  </si>
  <si>
    <t>适用场景</t>
  </si>
  <si>
    <t>用例规模（个）</t>
  </si>
  <si>
    <t>测试数据</t>
  </si>
  <si>
    <t>vlan转发</t>
  </si>
  <si>
    <t>mac转发</t>
  </si>
  <si>
    <t>根据MAC地址转发表转发业务测试</t>
  </si>
  <si>
    <t>流程图</t>
  </si>
  <si>
    <t>MAC地址转发表</t>
  </si>
  <si>
    <t>广播和未知单播转发测试</t>
  </si>
  <si>
    <t>直接分析</t>
  </si>
  <si>
    <t>广播、未知单播</t>
  </si>
  <si>
    <t>L3子接口不进行二层转发测试</t>
  </si>
  <si>
    <t>L3子接口不能进行二层转发</t>
  </si>
  <si>
    <t>聚合口进行二层转发测试</t>
  </si>
  <si>
    <t>二层聚合口</t>
  </si>
  <si>
    <t>二层转发与策略路由的耦合</t>
  </si>
  <si>
    <t>策略路由对二层转发报文不生效</t>
  </si>
  <si>
    <t>二层转发与ACL的耦合</t>
  </si>
  <si>
    <t>二层转发报文匹配ACL</t>
  </si>
  <si>
    <t>MAC转发表最大数量下的二层转发测试</t>
  </si>
  <si>
    <t>MAC转发表达到最大数量后业务转发</t>
  </si>
  <si>
    <t>vlan隔离</t>
  </si>
  <si>
    <t>不同模式下VLAN配置测试</t>
  </si>
  <si>
    <t>等价类划分&amp;数据组合</t>
  </si>
  <si>
    <t>access和trunk模式下的vlan配置</t>
  </si>
  <si>
    <t>access入方向对二层报文的处理测试</t>
  </si>
  <si>
    <t>access入方向对带vlan和不带vlan报文的处理</t>
  </si>
  <si>
    <t>access出方向对二层报文的处理测试</t>
  </si>
  <si>
    <t>access出方向对带vlan和不带vlan报文的处理</t>
  </si>
  <si>
    <t>trunk入方向对二层报文的处理测试</t>
  </si>
  <si>
    <t>trunk入方向对带vlan和不带vlan报文的处理</t>
  </si>
  <si>
    <t>trunk出方向对二层报文的处理测试</t>
  </si>
  <si>
    <t>trunk出方向对带vlan和不带vlan报文的处理</t>
  </si>
  <si>
    <t>access端口之间报文转发测试</t>
  </si>
  <si>
    <t>access端口之间报文转发</t>
  </si>
  <si>
    <t>trunk端口之间报文转发测试</t>
  </si>
  <si>
    <t>trunk端口之间报文转发</t>
  </si>
  <si>
    <t>access和trunk之间报文转发测试</t>
  </si>
  <si>
    <t>access和trunk之间报文转发</t>
  </si>
  <si>
    <t>多层vlan报文转发测试</t>
  </si>
  <si>
    <t>access和trunk模式下的多层vlan报文转发</t>
  </si>
  <si>
    <t>特殊vlan报文转发测试</t>
  </si>
  <si>
    <t>vlan为0和4095的报文转发</t>
  </si>
  <si>
    <t>修改二层接口tag属性对报文转发的影响测试</t>
  </si>
  <si>
    <t>修改二层接口模式和vlan对报文转发的影响</t>
  </si>
  <si>
    <t>修改接口工作模式对二层转发的影响测试</t>
  </si>
  <si>
    <t>修改接口工作模式对二层报文转发的影响</t>
  </si>
  <si>
    <t>主备切换后二层转发业务测试</t>
  </si>
  <si>
    <t>主备切换后业务转发正常</t>
  </si>
  <si>
    <t>主备模式下二层转发配置不同步测试</t>
  </si>
  <si>
    <t>主备模式下二层转发配置不同步</t>
  </si>
  <si>
    <t>重启对二层配置的影响测试</t>
  </si>
  <si>
    <t>重启不改变二层配置</t>
  </si>
  <si>
    <t>配置导入导出对二层转发的影响测试</t>
  </si>
  <si>
    <t>配置导出后再导入二层转发能正常恢复</t>
  </si>
  <si>
    <t>平滑升级对二层转发的影响测试</t>
  </si>
  <si>
    <t>平滑升级后不影响二层配置和业务转发</t>
  </si>
  <si>
    <t>vlan范围最大时业务转发测试</t>
  </si>
  <si>
    <t>VLAN=1-4094</t>
  </si>
  <si>
    <t>ipv6带vlan的报文转发测试</t>
  </si>
  <si>
    <t>ipv6带vlan的报文</t>
  </si>
  <si>
    <t>端口状态变化对二层转发的影响测试</t>
  </si>
  <si>
    <t>端口down后再up对报文转发的影响</t>
  </si>
  <si>
    <t>端口最大范围vlan配置测试</t>
  </si>
  <si>
    <t>端口添加和删除1-4094个vlan</t>
  </si>
  <si>
    <t>MAC学习</t>
  </si>
  <si>
    <t>动态MAC</t>
  </si>
  <si>
    <t>MAC地址学习测试</t>
  </si>
  <si>
    <t>报文源MAC地址学习，广播和组播MAC不学习</t>
  </si>
  <si>
    <t>MAC转发表老化测试</t>
  </si>
  <si>
    <t>MAC转发表定时老化</t>
  </si>
  <si>
    <t>手动清除MAC转发表测试</t>
  </si>
  <si>
    <t>MAC表项老化后，对应报文不通</t>
  </si>
  <si>
    <t>端口down后自动清除mac转发表测试</t>
  </si>
  <si>
    <t>端口down后，端口上的MAC表项清空</t>
  </si>
  <si>
    <t>MAC转发表达最大后的mac地址学习测试</t>
  </si>
  <si>
    <t>MAC转发表达到最大容量后的MAC地址学习</t>
  </si>
  <si>
    <t>平滑升级后能正常学习MAC地址</t>
  </si>
  <si>
    <t>端口迁移</t>
  </si>
  <si>
    <t>MAC转发表刷新测试</t>
  </si>
  <si>
    <t>报文从不同端口进入，MAC转发表刷新，报文转发发生改变</t>
  </si>
  <si>
    <t>MAC转发表刷新后业务转发测试</t>
  </si>
  <si>
    <t>MAC转发表刷新，业务转发</t>
  </si>
  <si>
    <t>MAC表项达最大数量后的端口迁移测试</t>
  </si>
  <si>
    <t>最大MAC转发表</t>
  </si>
  <si>
    <t>名称</t>
  </si>
  <si>
    <t>L2.vlan1</t>
  </si>
  <si>
    <t>组网图</t>
  </si>
  <si>
    <t>测试点汇总</t>
  </si>
  <si>
    <t>MAC地址转发表指导转发、MAC相同vlan相同转发、MAC相同VLAN不同转发</t>
  </si>
  <si>
    <t>【设计方法】流程图法</t>
  </si>
  <si>
    <t>步骤1:流程图</t>
  </si>
  <si>
    <t>步骤2:测试路径分析</t>
  </si>
  <si>
    <t>路径编号</t>
  </si>
  <si>
    <t>路径覆盖</t>
  </si>
  <si>
    <t>路径描述</t>
  </si>
  <si>
    <t>path1</t>
  </si>
  <si>
    <t>P1-P3</t>
  </si>
  <si>
    <t>未查找到匹配的MAC表项</t>
  </si>
  <si>
    <t>path2</t>
  </si>
  <si>
    <t>P1-P2-P4</t>
  </si>
  <si>
    <t>MAC匹配-VLAN不匹配</t>
  </si>
  <si>
    <t>path3</t>
  </si>
  <si>
    <t>P1-P2-P5</t>
  </si>
  <si>
    <t>MAC匹配-VLAN匹配</t>
  </si>
  <si>
    <t>【设计方法】直接设计法</t>
  </si>
  <si>
    <t>步骤1:逻辑用例设计</t>
  </si>
  <si>
    <t>逻辑用例编号</t>
  </si>
  <si>
    <t>测试用例描述</t>
  </si>
  <si>
    <t>覆盖的测试数据</t>
  </si>
  <si>
    <t>测试数据选取结果</t>
  </si>
  <si>
    <t>L2.vlan.macforward.001</t>
  </si>
  <si>
    <t>未知单播报文转发测试</t>
  </si>
  <si>
    <t>未知单播</t>
  </si>
  <si>
    <t>L2.vlan.macforward.002</t>
  </si>
  <si>
    <t>MAC匹配VLAN不匹配时在VLAN域内泛洪转发</t>
  </si>
  <si>
    <t>MAC匹配，VLAN不匹配</t>
  </si>
  <si>
    <t>L2.vlan.macforward.003</t>
  </si>
  <si>
    <t>MAC和VLAN均匹配时按表项转发</t>
  </si>
  <si>
    <t>MAC和VLAN都匹配</t>
  </si>
  <si>
    <t>步骤2:物理用例设计</t>
  </si>
  <si>
    <t>用例标题</t>
  </si>
  <si>
    <t>预置条件</t>
  </si>
  <si>
    <t>测试步骤</t>
  </si>
  <si>
    <t>预期结果</t>
  </si>
  <si>
    <t>数据=未知单播</t>
  </si>
  <si>
    <t>1、网元正常启动
2、网元GE0、GE1、GE2分别连接仪表口1、2、3，GE0、GE1、GE2端口模式均为access，vlan配置为vlan1
3、网元上存在mac1+vlan1+GE1的转发表表项</t>
  </si>
  <si>
    <t>1、从仪表1口发送目的mac为mac2，不带vlan的报文，查看仪表2、3口是否收到数据【check1】
2、从仪表1口发送目的mac为mac2，带vlan1的报文，查看端口2、3口是否收到数据【check1】
3、从仪表1口发送目的mac为mac3带vlan2的报文，查看2、3口是否收到数据【check2】</t>
  </si>
  <si>
    <t>【check1】仪表2和3口均收到报文
【check2】仪表2和3口均未收到报文</t>
  </si>
  <si>
    <t>MAC匹配VLAN不匹配时在VLAN域内泛洪测试</t>
  </si>
  <si>
    <t>数据=MAC匹配，VLAN不匹配</t>
  </si>
  <si>
    <t>1、网元正常启动
2、网元GE0、GE1、GE2分别连接仪表口1、2、3，GE0端口模式为trunk，vlan为vlan2和vlan3，GE1、GE2端口模式均为access，GE1端口vlan为vlan2，GE2端口vlan为vlan3
3、网元上存在mac1+vlan1+GE3的转发表表项</t>
  </si>
  <si>
    <t>1、从仪表1口发送目的mac为mac1，带vlan2的报文，查看仪表2、3口是否收到数据【check1】
2、从仪表1口发送目的mac为mac1，带vlan3的报文，查看仪表2、3口是否收到数据【check2】</t>
  </si>
  <si>
    <t>【check1】仪表2口收到报文，3口未收到
【check2】仪表3口收到报文，2口未收到</t>
  </si>
  <si>
    <t>MAC和VLAN均匹配时按表项转发测试</t>
  </si>
  <si>
    <t>数据=MAC和VLAN均匹配</t>
  </si>
  <si>
    <t>1、从仪表1口发送目的mac为mac1，带vlan1的报文，查看仪表2、3口是否收到数据【check1】
2、从仪表1口发送目的mac为mac1，不带vlan的报文，查看仪表2、3口是否收到数据【check1】
3、从仪表2口发送源mac为mac2的报文【check2】
4、从仪表1口发送目的mac为mac2，不带vlan的报文，查看仪表2、3口是否收到数据【check1】    
5、从仪表1口发送目的mac为mac2，带vlan1的报文，查看仪表2、3口是否收到数据【check1】</t>
  </si>
  <si>
    <t>【check1】只有仪表2口收到报文
【check2】网元上学习到mac2+vlan1+GE1的表项</t>
  </si>
  <si>
    <t>L2.vlan.macforward.022</t>
  </si>
  <si>
    <t>报文入端口和出端口相同测试</t>
  </si>
  <si>
    <t>数据=出入端口相同</t>
  </si>
  <si>
    <t>1、网元正常启动
2、网元GE0、GE1、GE2分别连接仪表口1、2、3，GE0、GE1、GE2端口模式均为access，vlan配置为vlan1</t>
  </si>
  <si>
    <t>1、从仪表1口发送不带vlan源mac为mac1的报文，观察网元是否学习到mac表项【check1】
2、从仪表1口发送不带vlan目的mac为mac1的报文，观察仪表2、3口是否收到数据【check2】
3、从仪表2口发送不带vlan目的mac为mac1的报文，观察仪表1、3口是否收到数据【check3】</t>
  </si>
  <si>
    <t>【check1】网元上学习到mac1+vlan1+GE0表项
【check2】仪表2、3口未收到数据
【check3】仪表1口收到数据，3口未收到</t>
  </si>
  <si>
    <t>L2.vlan.macforward.004</t>
  </si>
  <si>
    <t>广播报文转发测试</t>
  </si>
  <si>
    <t>广播和组播报文转发测试</t>
  </si>
  <si>
    <t>目的MAC=广播,组播</t>
  </si>
  <si>
    <t>1、网元正常启动
2、网元GE0、GE1、GE2分别连接仪表口1、2、3</t>
  </si>
  <si>
    <t>1、配置网元GE0、GE1和GE2口为access模式，vlan配置为vlan1【check1】
2、从仪表1口发送目的mac为广播（全F），不带vlan的报文，查看仪表2、3口是否收到数据【check2】
3、从仪表1口发送目的mac为广播（全F），带vlan1的报文，查看仪表2、3口是否收到数据【check2】
4、从仪表1口发送目的mac为组播，不带vlan的报文，查看仪表2、3口是否收到数据【check2】
5、从仪表1口发送目的mac为组播，带vlan1的报文，查看仪表2、3口是否收到数据【check2】</t>
  </si>
  <si>
    <t>【check1】配置成功
【check2】仪表2口和3口均收到数据</t>
  </si>
  <si>
    <t>L2.vlan.macforward.005</t>
  </si>
  <si>
    <t>二层转发和L3子接口耦合</t>
  </si>
  <si>
    <t>不涉及</t>
  </si>
  <si>
    <t>二层转发和三层子接口的耦合测试</t>
  </si>
  <si>
    <t>数据=三层子接口</t>
  </si>
  <si>
    <t>1、网元正常启动
2、GE0为路由模式，GE0上存在子接口GE0.vlan1，子接口上存在IP地址
3、GE0、GE1、GE2分别连接仪表口123</t>
  </si>
  <si>
    <t>1、配置网元GE1、GE2口为access，vlan配置为vlan1【check1】
2、从仪表2口发送带vlan1的报文，观察仪表1和3口是否收到报文【check2】</t>
  </si>
  <si>
    <t>【check1】配置成功
【check2】仪表1口未收到报文，仪表3口收到报文</t>
  </si>
  <si>
    <t>L2.vlan.macforward.006</t>
  </si>
  <si>
    <t>聚合口进行二层转发</t>
  </si>
  <si>
    <t>二层聚合口业务转发测试</t>
  </si>
  <si>
    <t>数据=二层聚合口</t>
  </si>
  <si>
    <t>1、网元正常启动
2、网元上存在二层聚合口bond1
3、bond1、GE1和GE2分别连接仪表口123</t>
  </si>
  <si>
    <t>1、配置bond1、GE1、GE2端口模式为access，vlan为vlan1【check1】
2、从仪表2口发送不带vlan的报文，查看仪表1和3口是否收到数据【check2】
3、从仪表2口发送带vlan1的报文，查看仪表1和3口是否收到数据【check2】
4、从仪表1口发送不带vlan的报文，查看仪表2和3口是否收到数据【check3】
5、从仪表1口发送带vlan1的报文，查看仪表2和3口是否收到数据【check3】</t>
  </si>
  <si>
    <t>【check1】配置成功
【check2】仪表1和3口收到报文
【check3】仪表2和3口收到报文</t>
  </si>
  <si>
    <t>L2.vlan.macforward.007</t>
  </si>
  <si>
    <t>二层转发不匹配策略路由</t>
  </si>
  <si>
    <t>二层业务不匹配策略路由测试</t>
  </si>
  <si>
    <t>数据=策略路由</t>
  </si>
  <si>
    <t>1、网元正常启动
2、网元GE0、GE1、GE2分别连接仪表口123</t>
  </si>
  <si>
    <t>1、配置GE0和GE1端口模式为access，vlan为vlan1【check1】
2、从仪表1口发送不带vlan和带vlan1的报文，查看仪表2口是否收到【check2】
3、在网元上添加一条策略路由，入接口为GE0，下一跳网关为仪表3口IP【check3】
4、查看仪表2口和3口是否收到数据【check4】</t>
  </si>
  <si>
    <t>【check1】配置成功
【check2】仪表2口收到仪表1口发送的两种报文
【check3】添加成功
【check4】仪表2口收到报文，仪表3口未收到</t>
  </si>
  <si>
    <t>L2.vlan.macforward.008</t>
  </si>
  <si>
    <t>二层转发与ACL的耦合测试</t>
  </si>
  <si>
    <t>数据=ACL</t>
  </si>
  <si>
    <t>1、网元正常启动
2、网元GE0、GE1分别连接仪表口1、2
3、网元默认策略动作为阻断</t>
  </si>
  <si>
    <t>1、配置GE0和GE1端口模式为access，vlan为vlan1【check1】
2、从仪表1口发送目的mac为mac1，不带vlan的报文，在仪表2口查看是否收到数据【check2】
3、修改默认策略动作为允许
4、查看仪表2口是否收到数据【check3】
5、新建一条控制策略，目的mac为mac1，动作为阻断【check4】
6、重复步骤4【check2】
7、修改自定义控制策略动作为允许，重复步骤4【check3】</t>
  </si>
  <si>
    <t>【check1】配置成功
【check2】仪表2口未收到1口发出的报文
【check3】仪表2口收到1口发出的报文
【check4】添加成功</t>
  </si>
  <si>
    <t>L2.vlan.macforward.009</t>
  </si>
  <si>
    <t>MAC转发表达到最大数量后的二层转发测试</t>
  </si>
  <si>
    <t>数据=最大MAC转发表</t>
  </si>
  <si>
    <t xml:space="preserve">1、网元正常启动
2、网元GE1、GE2、GE3分别连接仪表口1、2、3，仪表1、2、3口配置同网段IP
3、网元上MAC转发表中数量为mac.max，表项中不存在mac1
</t>
  </si>
  <si>
    <t>1、配置GE1、GE2、GE3为交换模式，类型为access，vlanid为vlan1【check1】
2、从仪表1口发送源mac为mac1不带vlan的报文，观察业务情况【check2】
3、从仪表2口发送目的mac为mac1不带vlan的报文，观察业务情况【check3】</t>
  </si>
  <si>
    <t>【check1】配置成功
【check2】仪表2、3口均收到报文
【check3】仪表1、3口均收到报文</t>
  </si>
  <si>
    <t>【设计方法】等价类划分&amp;数据组合</t>
  </si>
  <si>
    <t>步骤1:等价类划分</t>
  </si>
  <si>
    <t>等价类划分</t>
  </si>
  <si>
    <t>有效类</t>
  </si>
  <si>
    <t>无效类</t>
  </si>
  <si>
    <t>接口模式</t>
  </si>
  <si>
    <t>access</t>
  </si>
  <si>
    <t>hybrid</t>
  </si>
  <si>
    <t>划分方法：无
选取策略：全选
选取结果：测试对象=接口模式：有效值=access，trunk；无效值=hybrid，中文，数字，特殊字符，空</t>
  </si>
  <si>
    <t>trunk</t>
  </si>
  <si>
    <t>超长字符串</t>
  </si>
  <si>
    <t>数字</t>
  </si>
  <si>
    <t>空</t>
  </si>
  <si>
    <t>特殊字符</t>
  </si>
  <si>
    <t>单个vlan</t>
  </si>
  <si>
    <t>1-4094</t>
  </si>
  <si>
    <t>划分方法：无
选取策略：全选
选取结果：测试对象=单个vlan;有效值=1-4094;无效值=</t>
  </si>
  <si>
    <t>&lt;1</t>
  </si>
  <si>
    <t>&gt;4094</t>
  </si>
  <si>
    <t>英文</t>
  </si>
  <si>
    <t>中文</t>
  </si>
  <si>
    <t>多个vlan</t>
  </si>
  <si>
    <t>逗号连接单个1-4094范围的数字</t>
  </si>
  <si>
    <t>逗号连接字符串中存在&lt;1的数</t>
  </si>
  <si>
    <t>划分方法：无
选取策略：全选
选取结果：测试对象=多个vlan;有效值=逗号连接单个1-4094范围的数字，"-"连接的1-4094内的范围，空;无效值=逗号连接字符串中存在&lt;1的数，逗号连接字符串中存在&gt;4094的数，"-"连接的起始值大于结束值，英文，中文，特殊字符，超长字符串</t>
  </si>
  <si>
    <t>"-"连接的1-4094内范围</t>
  </si>
  <si>
    <t>逗号连接字符串中存在&gt;4094的数</t>
  </si>
  <si>
    <t>"-"连接的起始值大于结束值</t>
  </si>
  <si>
    <t>单个数字和范围组合</t>
  </si>
  <si>
    <t>步骤2:数据组合</t>
  </si>
  <si>
    <t>数据组合</t>
  </si>
  <si>
    <t>数据取值</t>
  </si>
  <si>
    <t>组合数据分析</t>
  </si>
  <si>
    <t>约束条件和组合策略</t>
  </si>
  <si>
    <t>组合结果</t>
  </si>
  <si>
    <t>单个vlan=1-4094</t>
  </si>
  <si>
    <t>约束条件：接口模式为access时只能配置单个vlan
组合策略：全组合</t>
  </si>
  <si>
    <t>接口模式=access;trunk;单个vlan:有效值=1-4094之间任一值;无效值=0,4095,空,&lt;1，&gt;4094，英文，中文，特殊字符</t>
  </si>
  <si>
    <t>单个vlan、多个vlan</t>
  </si>
  <si>
    <t>约束条件：接口模式为trunk时能配置单个vlan，也能配置多个vlan，单个vlan配置在access中覆盖
组合策略：trunk+多个vlan</t>
  </si>
  <si>
    <t>接口模式=trunk;多个vlan:有效值=逗号连接单个1-4094范围的数字,"-"连接的1-4094内的范围,空;无效值=逗号连接字符串中存在&lt;1的数，逗号连接字符串中存在&gt;4094的数，"-"连接的起始值大于结束值，英文，中文，特殊字符，超长字符串</t>
  </si>
  <si>
    <t>hybrid，中文，数字，特殊字符，空</t>
  </si>
  <si>
    <t>接口模式=hybrid,中文,数字,特殊字符,空</t>
  </si>
  <si>
    <t>接口模式=hybrid,中文,数字,特殊字符,空;单个vlan=1-4094之间任一值</t>
  </si>
  <si>
    <t>已组合</t>
  </si>
  <si>
    <t>0,4095,空,&lt;1，&gt;4094，英文，中文，特殊字符</t>
  </si>
  <si>
    <t>逗号连接字符串中存在&lt;1的数，逗号连接字符串中存在&gt;4094的数，"-"连接的起始值大于结束值，英文，中文，特殊字符，超长字符串</t>
  </si>
  <si>
    <t>步骤3:逻辑用例设计</t>
  </si>
  <si>
    <t>L2.vlan.isolation.001</t>
  </si>
  <si>
    <t>接口模式为无效值修改端口vlan</t>
  </si>
  <si>
    <t>L2.vlan.isolation.002</t>
  </si>
  <si>
    <t>接口模式为access修改端口vlan</t>
  </si>
  <si>
    <t>接口模式&amp;单个vlan</t>
  </si>
  <si>
    <t>接口模式=access;单个vlan:有效值=1-4094之间任一值;无效值=0,4095,空,&lt;1，&gt;4094，英文，中文，特殊字符</t>
  </si>
  <si>
    <t>L2.vlan.isolation.003</t>
  </si>
  <si>
    <t>接口模式为trunk修改端口Default VLAN ID</t>
  </si>
  <si>
    <t>接口模式=trunk;单个vlan:有效值=1-4094之间任一值;无效值=0,4095,空,&lt;1，&gt;4094，英文，中文，特殊字符</t>
  </si>
  <si>
    <t>L2.vlan.isolation.004</t>
  </si>
  <si>
    <t>接口模式为trunk修改端口Trunk VLAN ID</t>
  </si>
  <si>
    <t>接口模式&amp;多个vlan</t>
  </si>
  <si>
    <t>步骤4:物理用例设计</t>
  </si>
  <si>
    <t>接口模式为无效值修改端口vlan测试</t>
  </si>
  <si>
    <t>1、网元正常启动
2、GE1端口工作模式为交换</t>
  </si>
  <si>
    <t>1、修改GE1模式为$[接口模式]，配置VLAN ID为1-4094之间任一值【check1】</t>
  </si>
  <si>
    <t>【check1】配置失败</t>
  </si>
  <si>
    <t>接口模式为access时修改端口vlan测试</t>
  </si>
  <si>
    <t>有效值=1-4094之间任一值;无效值=0,4095,空,&lt;1，&gt;4094，英文，中文，特殊字符</t>
  </si>
  <si>
    <t>1、修改GE1模式为access，配置 VLAN ID为$[有效值]【check1】
2、修改VLAN ID为$[无效值]【check2】</t>
  </si>
  <si>
    <t>【check1】配置成功，日志中存在对应记录
【check2】配置失败</t>
  </si>
  <si>
    <t>接口模式为trunk修改端口Default VLAN ID测试</t>
  </si>
  <si>
    <t>1、修改GE1模式为trunk，配置 VLAN ID为$[有效值]【check1】
2、修改Default VLAN ID为$[无效值]【check2】</t>
  </si>
  <si>
    <t>接口模式为trunk修改端口Trunk VLAN ID测试</t>
  </si>
  <si>
    <t>有效值=逗号连接单个1-4094范围的数字,"-"连接的1-4094内的范围,空;无效值=逗号连接字符串中存在&lt;1的数，逗号连接字符串中存在&gt;4094的数，"-"连接的起始值大于结束值，英文，中文，特殊字符，超长字符串</t>
  </si>
  <si>
    <t>1、修改GE1模式为trunk，配置Trunk VLAN ID为$[有效值]【check1】
2、修改Trunk VLAN ID为$[无效值]【check2】</t>
  </si>
  <si>
    <t>L2.vlan.isolation.005</t>
  </si>
  <si>
    <t>access入方向对不带vlan报文的处理</t>
  </si>
  <si>
    <t>不带vlan</t>
  </si>
  <si>
    <t>L2.vlan.isolation.006</t>
  </si>
  <si>
    <t>access入方向对带一层vlan报文的处理</t>
  </si>
  <si>
    <t>一层vlan</t>
  </si>
  <si>
    <t>L2.vlan.isolation.007</t>
  </si>
  <si>
    <t>access入方向对带两层vlan报文的处理</t>
  </si>
  <si>
    <t>两层vlan</t>
  </si>
  <si>
    <t>access入方向对不带vlan报文的处理测试</t>
  </si>
  <si>
    <t>数据=入方向不带vlan</t>
  </si>
  <si>
    <t>1、网元正常启动
2、GE2接口为trunk，defaultvlan为vlan2，vlanid为vlan1
3、GE1和GE2分别连接仪表口1、2，仪表1、2口配置同网段IP</t>
  </si>
  <si>
    <t>1、配置GE1为二层access，vlan id为vlan1【check1】
2、从仪表1口发送不带vlan的报文，查看GE1口是否收到报文【check2】
3、在仪表2口抓包查看报文内容【check3】</t>
  </si>
  <si>
    <t>【check1】配置成功
【check2】GE1口收到报文
【check3】报文中存在一层vlan，值为vlan1</t>
  </si>
  <si>
    <t>access入方向对带一层vlan报文的处理测试</t>
  </si>
  <si>
    <t>数据=入方向带一层vlan（vlan=pvid，vlan≠pvid）</t>
  </si>
  <si>
    <t>1、配置GE1为二层access，vlan id为vlan1【check1】
2、从仪表1口发送带vlan1的报文，查看GE1口是否收到报文【check2】
3、在仪表2口抓包查看报文内容【check3】
4、从仪表1口发送带vlan2的报文，查看GE1口是否收到报文【check4】</t>
  </si>
  <si>
    <t>【check1】配置成功
【check2】GE1口收到报文
【check3】报文中存在一层vlan，值为vlan1
【check4】GE1口未收到报文</t>
  </si>
  <si>
    <t>access入方向对带两层vlan报文的处理测试</t>
  </si>
  <si>
    <t>数据=入方向带两层vlan（外层vlan=pvid，外层vlan≠pvid）</t>
  </si>
  <si>
    <t>1、配置GE1为二层access，vlan id为vlan1【check1】
2、从仪表1口发送带两层vlan的报文（外层vlan为vlan1，内层vlan为vlan2），查看GE1口是否收到报文【check2】
3、在仪表2口抓包查看报文内容【check3】
4、从仪表1口发送带外层为vlan2，内层为vlan1的报文，查看GE1口是否收到报文【check4】</t>
  </si>
  <si>
    <t>【check1】配置成功
【check2】GE1口收到报文
【check3】报文中存在两层vlan，外层为vlan1，内层为vlan2
【check4】GE1口未收到报文</t>
  </si>
  <si>
    <t>L2.vlan.isolation.008</t>
  </si>
  <si>
    <t>access出方向对不带vlan报文的处理</t>
  </si>
  <si>
    <t>L2.vlan.isolation.009</t>
  </si>
  <si>
    <t>access出方向对带一层vlan报文的处理</t>
  </si>
  <si>
    <t>L2.vlan.isolation.010</t>
  </si>
  <si>
    <t>access出方向对带两层vlan报文的处理</t>
  </si>
  <si>
    <t>access出方向对不带vlan报文的处理测试</t>
  </si>
  <si>
    <t>数据=不带vlan</t>
  </si>
  <si>
    <t>1、网元正常启动
2、GE1、GE2为access，vlan为vlan1
3、GE1和GE3分别连接仪表口1、2，GE3和仪表2口互通</t>
  </si>
  <si>
    <t>1、将GE1和GE2加入bvi接口中，vlanid为vlan1，配置IP与仪表1口互通【check1】
2、从仪表2口发送不带vlan的报文，查看仪表1口是否收到报文【check2】
3、在仪表1口抓包查看报文内容【check3】</t>
  </si>
  <si>
    <t>【check1】配置成功
【check2】仪表1口收到报文
【check3】报文中不存在vlan</t>
  </si>
  <si>
    <t>access出方向对带一层vlan报文的处理测试</t>
  </si>
  <si>
    <t>数据=出方向带一层vlan（vlan=pvid，vlan≠pvid）</t>
  </si>
  <si>
    <t>1、配置GE1为二层access，vlan id为vlan1【check1】
2、从仪表2口发送带vlan1的报文，查看仪表1口是否收到报文【check2】
3、在仪表1口抓包查看报文内容【check3】
4、从仪表2口发送带vlan2的报文，查看GE1口是否收到报文【check4】</t>
  </si>
  <si>
    <t>【check1】配置成功
【check2】仪表1口收到报文
【check3】报文中不存在vlan
【check4】GE1口未收到报文</t>
  </si>
  <si>
    <t>access出方向对带两层vlan报文的处理测试</t>
  </si>
  <si>
    <t>数据=出方向带两层vlan（外层vlan=pvid，外层vlan≠pvid）</t>
  </si>
  <si>
    <t>1、配置GE1为二层access，vlan id为vlan1【check1】
2、从仪表2口发送带两层vlan的报文（外层vlan为vlan1，内层vlan为vlan2），查看仪表1口是否收到报文【check2】
3、在仪表1口抓包查看报文内容【check3】
4、从仪表2口发送带外层为vlan2，内层为vlan1的报文，查看GE1口是否收到报文【check4】</t>
  </si>
  <si>
    <t>【check1】配置成功
【check2】仪表1口收到报文
【check3】报文中存在一层vlan，值为vlan2
【check4】仪表1口未收到报文</t>
  </si>
  <si>
    <t>L2.vlan.isolation.011</t>
  </si>
  <si>
    <t>trunk入方向对不带vlan报文的处理</t>
  </si>
  <si>
    <t>L2.vlan.isolation.012</t>
  </si>
  <si>
    <t>trunk入方向对带一层vlan报文的处理</t>
  </si>
  <si>
    <t>L2.vlan.isolation.013</t>
  </si>
  <si>
    <t>trunk入方向对带两层vlan报文的处理</t>
  </si>
  <si>
    <t>trunk入方向对不带vlan报文的处理测试</t>
  </si>
  <si>
    <t>1、网元正常启动
2、GE2接口为trunk，defaultvlan为vlan2，vlanid为vlan1、vlan3、vlan4
3、GE1和GE2分别连接仪表口1、2，仪表1、2口配置同网段IP</t>
  </si>
  <si>
    <t>1、配置GE1为二层trunk，default vlan id为vlan1【check1】
2、从仪表1口发送不带vlan的报文，查看GE1口是否收到报文【check2】
3、查看仪表2口是否收到报文并抓包【check3】</t>
  </si>
  <si>
    <t>【check1】配置成功
【check2】GE1口收到报文
【check3】报文中存在一层vlan，值为vlan1，报文tpid为8100</t>
  </si>
  <si>
    <t>trunk入方向对带一层vlan报文的处理测试</t>
  </si>
  <si>
    <t>数据=入方向带一层vlan（vlan in allowlist，vlan not in allowlist）</t>
  </si>
  <si>
    <t>1、配置GE1为二层trunk，default vlan id为vlan1，trunk vlan id为vlan3、vlan4【check1】
2、从仪表1口发送带vlan1的报文，查看GE1口是否收到报文【check2】
3、查看仪表2口是否收到报文并抓包【check3】
4、从仪表1口发送带vlan3的报文，查看仪表2口是否收到报文并抓包【check4】
5、从仪表1口发送带vlan4的报文，查看仪表2口是否收到报文并抓包【check5】
6、从仪表1口发送带vlan2的报文，查看仪表2口是否收到【check6】</t>
  </si>
  <si>
    <t>【check1】配置成功
【check2】GE1口收到报文
【check3】仪表2口收到报文，报文中存在一层vlan，值为vlan1
【check4】仪表2口收到报文，报文中存在一层vlan，值为vlan3
【check5】仪表2口收到报文，报文中存在一层vlan，值为vlan4
【check6】仪表2口未收到报文</t>
  </si>
  <si>
    <t>trunk入方向对带两层vlan报文的处理测试</t>
  </si>
  <si>
    <t>数据=入方向带两层vlan（外层vlan in allowlist，外层vlan not in allowlist）</t>
  </si>
  <si>
    <t>1、配置GE1为二层trunk，default vlan id为vlan1，trunk vlanid为vlan3、vlan4【check1】
2、从仪表1口发送带两层vlan的报文（外层vlan为vlan1，内层vlan为vlan2），查看GE1口是否收到报文【check2】
3、查看仪表2口是否收到报文并抓包【check3】
4、从仪表1口发送带外层为vlan3，内层为vlan2的报文，查看仪表2口是否收到报文并抓包【check4】
5、从仪表1口发送带外层为vlan4，内层为vlan2的报文，查看仪表2口是否收到报文并抓包【check5】
6、从仪表1口发送带外层vlan2，内层vlan1的报文，查看仪表2口是否收到报文【check6】</t>
  </si>
  <si>
    <t>【check1】配置成功
【check2】GE1口收到报文
【check3】报文中存在两层vlan，外层为vlan1，内层为vlan2
【check4】报文中存在两层vlan，外层为vlan3，内层为vlan2
【check5】报文中存在两层vlan，外层为vlan4，内层为vlan2
【check6】仪表2口未收到报文</t>
  </si>
  <si>
    <t>L2.vlan.isolation.014</t>
  </si>
  <si>
    <t>trunk出方向对不带vlan报文的处理</t>
  </si>
  <si>
    <t>L2.vlan.isolation.015</t>
  </si>
  <si>
    <t>trunk出方向对带一层vlan报文的处理</t>
  </si>
  <si>
    <t>L2.vlan.isolation.016</t>
  </si>
  <si>
    <t>trunk出方向对带两层vlan报文的处理</t>
  </si>
  <si>
    <t>trunk出方向对不带vlan报文的处理测试</t>
  </si>
  <si>
    <t>1、网元正常启动
2、GE1、GE2为trunk，vlan为vlan1
3、GE1和GE3分别连接仪表口1、2，GE3和仪表2口互通</t>
  </si>
  <si>
    <t>trunk出方向对带一层vlan报文的处理测试</t>
  </si>
  <si>
    <t>数据=出方向带一层vlan（vlan in allowlist，vlan not in allowlist）</t>
  </si>
  <si>
    <t>1、配置GE1为二层trunk，default vlan id为vlan1，trunk vlan id为vlan3、vlan4【check1】
2、从仪表2口发送带vlan1的报文，查看仪表1口是否收到报文并抓包【check2】
4、从仪表2口发送带vlan3的报文，查看仪表1口是否收到报文并抓包【check3】
5、从仪表2口发送带vlan4的报文，查看仪表1口是否收到报文并抓包【check4】
6、从仪表2口发送带vlan2的报文，查看仪表1口是否收到【check5】</t>
  </si>
  <si>
    <t>【check1】配置成功
【check2】仪表1口收到报文，报文中不存在vlan
【check3】仪表1口收到报文，报文中存在一层vlan为vlan3
【check4】仪表1口收到报文，报文中存在一层vlan为vlan4
【check5】仪表1口未收到报文</t>
  </si>
  <si>
    <t>trunk出方向对带两层vlan报文的处理测试</t>
  </si>
  <si>
    <t>数据=出方向带两层vlan（外层vlan in allowlist，外层vlan not in allowlist）</t>
  </si>
  <si>
    <t>1、配置GE1为二层trunk，default vlan id为vlan1，trunk vlan id为vlan3、vlan4【check1】
2、从仪表2口发送带外层vlan1，内层vlan2的报文，查看仪表1口是否收到报文并抓包【check2】
4、从仪表2口发送带外层vlan3，内层vlan2的报文，查看仪表1口是否收到报文并抓包【check3】
5、从仪表2口发送带外层vlan4，内层vlan2的报文，查看仪表1口是否收到报文并抓包【check4】
6、从仪表2口发送带外层vlan2，内层vlan1的报文，查看仪表1口是否收到【check5】</t>
  </si>
  <si>
    <t>【check1】配置成功
【check2】仪表1口收到报文，报文中存在一层vlan为vlan2
【check3】仪表1口收到报文，报文中存在两层vlan外层为vlan3，内层为vlan2
【check4】仪表1口收到报文，报文中存在两层vlan外层为vlan4，内层为vlan2
【check5】仪表1口未收到报文</t>
  </si>
  <si>
    <t>L2.vlan.isolation.017</t>
  </si>
  <si>
    <t>数据=access</t>
  </si>
  <si>
    <t>1、网元正常启动
2、网元GE1、GE2、GE3分别连接仪表口1、2、3，仪表1、2、3口配置同网段IP</t>
  </si>
  <si>
    <t>1、配置GE1、GE2、GE3端口为二层access，GE1和GE2端口vlan为vlan1，GE3端口vlan为vlan2【check1】
2、从仪表1口发送不带vlan的报文，查看仪表2、3口是否收到报文【check2】
3、从仪表1口发送带vlan1的报文，查看仪表2、3口是否收到报文【check2】
4、修改GE3端口vlan为vlan1【check3】
5、重复步骤2、3【check4】</t>
  </si>
  <si>
    <t>【check1】配置成功
【check2】仪表2口收到报文，仪表3口未收到报文
【check3】修改成功，日志中存在对应记录
【check4】仪表2口和3口均收到报文</t>
  </si>
  <si>
    <t>L2.vlan.isolation.018</t>
  </si>
  <si>
    <t>trunk端口default vlan id报文转发测试</t>
  </si>
  <si>
    <t>default vlan id</t>
  </si>
  <si>
    <t>L2.vlan.isolation.019</t>
  </si>
  <si>
    <t>trunk端口trunk vlan id报文转发测试</t>
  </si>
  <si>
    <t>trunk vlan id</t>
  </si>
  <si>
    <t>数据=trunk之间default vlan id</t>
  </si>
  <si>
    <t>1、配置GE1、GE2、GE3端口为二层trunk，GE1和GE2端口default vlan id为vlan1，GE3端口default vlan id为vlan2，trunk vlan id均为空【check1】
2、从仪表1口发送不带vlan的报文，查看仪表2、3口是否收到报文【check2】
3、从仪表1口发送带vlan1的报文，查看仪表2、3口是否收到报文【check2】
4、修改GE3端口default vlan id为vlan1【check3】
5、重复步骤2、3【check4】</t>
  </si>
  <si>
    <t>数据=trunk之间trunk vlan id</t>
  </si>
  <si>
    <t>1、配置GE1、GE2、GE3端口为二层trunk，GE1和GE2端口default vlan id为vlan1，trunk vlan id为vlan2；GE3端口default vlan id为vlan2，trunk vlan id为vlan1【check1】
2、从仪表1口发送不带vlan的报文，查看仪表2、3口是否收到报文【check2】
3、从仪表1口发送带vlan1的报文，查看仪表2、3口是否收到报文【check2】
4、从仪表1口发送带vlan2的报文，查看仪表2、3口是否收到报文【check2】</t>
  </si>
  <si>
    <t>【check1】配置成功
【check2】仪表2口和3口均收到报文</t>
  </si>
  <si>
    <t>L2.vlan.isolation.020</t>
  </si>
  <si>
    <t>access和trunk端口default vlan id之间报文转发测试</t>
  </si>
  <si>
    <t>L2.vlan.isolation.021</t>
  </si>
  <si>
    <t>access和trunk端口trunk vlan id之间报文转发测试</t>
  </si>
  <si>
    <t>数据=access&amp;trunk default vlan id</t>
  </si>
  <si>
    <t>1、网元正常启动
2、网元GE1、GE2分别连接仪表口1、2，仪表1、2口配置同网段IP</t>
  </si>
  <si>
    <t>1、配置GE1口为access，vlan id为vlan1，GE2口为trunk，default vlan id为vlan1【check1】
2、分别从仪表1、2口发送不带vlan的报文，观察业务是否能通【check2】
3、分别从仪表1、2口发送带vlan1的报文，观察业务是否能通【check2】</t>
  </si>
  <si>
    <t>【check1】配置成功
【check2】仪表1、2口分别收到对端发送的报文</t>
  </si>
  <si>
    <t>数据=access&amp;trunk trunk vlan id</t>
  </si>
  <si>
    <t>1、配置GE1口为access，vlan id为vlan1，GE2口为trunk，default vlan id为vlan2，trunk vlan id为vlan1【check1】
2、分别从仪表1、2口发送不带vlan的报文，观察业务是否能通【check2】
3、从仪表1口发送带vlan1的报文，查看仪表2口是否收到【check3】
4、从仪表2口发送带vlan2的报文，查看仪表1口是否收到【check4】</t>
  </si>
  <si>
    <t>【check1】配置成功
【check2】仪表2口收到报文，仪表1口未收到报文
【check3】仪表2口收到报文
【check4】仪表1口未收到报文</t>
  </si>
  <si>
    <t>L2.vlan.isolation.022</t>
  </si>
  <si>
    <t>access端口之间多层vlan报文处理测试</t>
  </si>
  <si>
    <t>L2.vlan.isolation.023</t>
  </si>
  <si>
    <t>trunk端口之间多层vlan报文处理测试</t>
  </si>
  <si>
    <t>L2.vlan.isolation.024</t>
  </si>
  <si>
    <t>access和trunk端口之间多层vlan报文处理测试</t>
  </si>
  <si>
    <t>数据=access&amp;多层vlan</t>
  </si>
  <si>
    <t>1、配置GE1、GE2端口为access，vlanid为vlan1【check1】
2、分别从仪表1、2口发送外层vlan1，内层vlan2的报文，观察业务是否能通【check2】
3、分别从仪表1、2口发送外层vlan2，内层vlan1的报文，观察业务是否能通【check3】</t>
  </si>
  <si>
    <t>【check1】配置成功
【check2】仪表1、2口分别收到对端发送的报文，报文中存在一层vlan，为vlan2
【check3】仪表1、2口均未收到对端发送的报文</t>
  </si>
  <si>
    <t>数据=trunk&amp;多层vlan</t>
  </si>
  <si>
    <t>1、配置GE1、GE2、GE3端口为二层trunk，GE1和GE2端口default vlan id为vlan1，trunk vlan id为vlan2；GE3端口default vlan id为vlan2，trunk vlan id为vlan1【check1】
2、从仪表1口发送外层vlan1，内层vlan2的报文，查看仪表2、3口是否收到报文【check2】
3、从仪表1口发送外层vlan2，内层vlan1的报文，查看仪表2、3口是否收到报文【check3】</t>
  </si>
  <si>
    <t>【check1】配置成功
【check2】仪表2、3口均收到仪表1口发出的报文，仪表2口收到的报文带一层vlan2；仪表3口收到的报文带两层vlan，外层为vlan1，内层为vlan2
【check3】仪表2、3口均收到仪表1口发出的报文，仪表1口收到的报文带两层vlan，外层为vlan2，内层为vlan1；仪表2口收到的报文带一层vlan1</t>
  </si>
  <si>
    <t>数据=access&amp;trunk&amp;多层vlan</t>
  </si>
  <si>
    <t>1、配置GE1口为access，vlan id为vlan1，GE2口为trunk，default vlan id为vlan2，trunk vlan id为vlan1；GE3口为trunk，default vlan id为vlan1，trunk vlan id为vlan2【check1】
2、从仪表1口发送外层vlan1，内层vlan2的报文，查看仪表2、3口是否收到报文【check2】
3、从仪表2口发送外层vlan1，内层vlan2的报文，查看仪表1、3口是否收到【check3】
4、从仪表3口发送外层vlan2，内层vlan1的报文，查看仪表1口是否收到【check4】</t>
  </si>
  <si>
    <t>【check1】配置成功
【check2】仪表2、3口均收到报文，仪表2口收到的报文带两层vlan，外层为vlan1，内层为vlan2；仪表3口收到的报文带一层vlan2
【check3】仪表1、3口均收到报文，仪表1口收到的报文带一层vlan1；仪表3口收到的报文带两层vlan，外层为vlan1，内层为vlan2
【check4】仪表1口未收到报文，仪表2口收到报文，带一层vlan1</t>
  </si>
  <si>
    <t>L2.vlan.isolation.025</t>
  </si>
  <si>
    <t>重启</t>
  </si>
  <si>
    <t>重启方式=软重启、掉电</t>
  </si>
  <si>
    <t>access端口下特殊vlan报文转发测试</t>
  </si>
  <si>
    <t>vlan=0,4095</t>
  </si>
  <si>
    <t>1、配置GE1、GE2口为access，vlanid为vlan1【check1】
2、分别从仪表1、2口发送带$[vlan]的报文，查看两端是否收到报文【check2】</t>
  </si>
  <si>
    <t>【check1】配置成功
【check2】仪表1、2口均未收到对端发送的报文</t>
  </si>
  <si>
    <t>L2.vlan.isolation.042</t>
  </si>
  <si>
    <t>trunk端口下特殊vlan报文转发测试</t>
  </si>
  <si>
    <t>1、配置GE1、GE2口为trunk，vlanid为vlan1，trunk vlan id为1-4094【check1】
2、分别从仪表1、2口发送带$[vlan]的报文，查看两端是否收到报文【check2】</t>
  </si>
  <si>
    <t>L2.vlan.isolation.026</t>
  </si>
  <si>
    <t>修改trunk端口vlan对报文转发的影响</t>
  </si>
  <si>
    <t>L2.vlan.isolation.027</t>
  </si>
  <si>
    <t>反复修改接口模式对报文转发的影响</t>
  </si>
  <si>
    <t>修改trunk端口vlan对报文转发的影响测试</t>
  </si>
  <si>
    <t>数据=trunk</t>
  </si>
  <si>
    <t>1、配置GE1、GE2、GE3端口为二层trunk，GE1和GE2端口default vlan id为vlan3，trunk vlan id为vlan1，vlan2；GE3端口default vlan id为vlan2，trunk vlan id为vlan1【check1】
2、从仪表1口从发送不带vlan的报文，观察仪表2、3口是否收到报文【check2】
3、将vlan3添加到GE3 trunk vlan id中，观察仪表2、3口是否收到报文【check3】【check4】</t>
  </si>
  <si>
    <t>反复修改接口模式对报文转发的影响测试</t>
  </si>
  <si>
    <t>数据=模式修改</t>
  </si>
  <si>
    <t>1、网元正常启动
2、网元GE1、GE2、GE3分别连接仪表口1、2，仪表1、2口配置同网段IP</t>
  </si>
  <si>
    <t>1、配置GE1和GE2端口为二层access，vlan id为vlan1【check1】
2、从仪表两端发送带vlan1的报文，观察对端是否收到报文【check2】
3、修改GE1端口为trunk，default vlan id为vlan1【check3】
4、观察业务【check4】
5、修改GE1 default vlan id为vlan2，trunk vlan id为vlan1【check3】
6、观察业务【check4】
7、修改GE1端口为access，vlan id为vlan1【check3】
8、观察业务【check4】
9、重复步骤3-8至少10次，观察业务【check4】</t>
  </si>
  <si>
    <t>【check1】配置成功
【check2】仪表1、2口分别收到对端发送的报文
【check3】修改成功，日志中存在对应记录
【check4】业务正常恢复，仪表1、2口正常收到报文</t>
  </si>
  <si>
    <t>L2.vlan.isolation.028</t>
  </si>
  <si>
    <t>反复修改接口工作模式对二层转发的影响</t>
  </si>
  <si>
    <t>反复修改接口工作模式对二层转发的影响测试</t>
  </si>
  <si>
    <t>数据=工作模式</t>
  </si>
  <si>
    <t>1、配置GE1、GE2端口为二层access，vlan id为vlan1【check1】
2、从仪表两端发送不带vlan的报文，观察业务【check2】
3、修改GE1接口为路由模式，配置IP，观察业务【check3】
4、修改GE1接口为交换模式，端口模式为access，vlan id为vlan1，观察业务【check4】
5、重复步骤3、4至少10次【check5】</t>
  </si>
  <si>
    <t>【check1】配置成功
【check2】仪表1、2口分别收到对端发送的报文
【check3】配置成功，业务中断
【check4】业务正常恢复，接口上不存在IP配置
【check5】二三层切换成功后接口上均不存在IP配置</t>
  </si>
  <si>
    <t>L2.vlan.isolation.029</t>
  </si>
  <si>
    <t>主备切换后二层转发业务正常恢复</t>
  </si>
  <si>
    <t>主备切换后二层转发业务正常恢复测试</t>
  </si>
  <si>
    <t>数据=主备切换</t>
  </si>
  <si>
    <t>1、网元正常启动
2、网元GE1、GE2分别连接仪表口1、2，仪表1、2口配置同网段IP 
3、网元处于主备环境中</t>
  </si>
  <si>
    <t>1、1、配置GE1、GE2端口为二层access，vlan id为vlan1【check1】
2、从仪表两端发送不带vlan的报文，观察业务【check2】</t>
  </si>
  <si>
    <t>L2.vlan.isolation.030</t>
  </si>
  <si>
    <t>主备模式下二层配置不同步</t>
  </si>
  <si>
    <t>主备模式下二层配置不同步测试</t>
  </si>
  <si>
    <t>数据=主备</t>
  </si>
  <si>
    <t>1、网元正常启动
2、网元处于主备环境中</t>
  </si>
  <si>
    <t>1、配置GE1口为交换模式，端口类型为access【check1】</t>
  </si>
  <si>
    <t>【check1】配置成功</t>
  </si>
  <si>
    <t>L2.vlan.isolation.031</t>
  </si>
  <si>
    <t>重启对二层转发的影响测试</t>
  </si>
  <si>
    <t>${重启}对二层转发的影响测试</t>
  </si>
  <si>
    <t>重启=命令重启,掉电重启</t>
  </si>
  <si>
    <t xml:space="preserve">1、配置GE1、GE2接口为交换模式，类型为access，vlan id为vlan1【check1】
2、从仪表两端发送不带vlan、带一层vlan1、带外层vlan1内层vlan2的报文，观察业务【check2】
3、对防火墙进行${重启}，重启成功后查看端口配置和业务【check3】【check4】
4、重复步骤2、3至少10次
</t>
  </si>
  <si>
    <t>【check1】配置成功
【check2】仪表1、2口分别收到对端发送的报文
【check3】端口配置与重启前一致
【check4】重启成功后业务正常恢复</t>
  </si>
  <si>
    <t>L2.vlan.isolation.033</t>
  </si>
  <si>
    <t>配置导入导出</t>
  </si>
  <si>
    <t>操作=导入导出</t>
  </si>
  <si>
    <t>1、配置GE1、GE2端口为二层trunk，GE1和GE2端口default vlan id为vlan1，trunk vlan id均为vlan2【check1】
2、从仪表两端发送不带vlan的报文，观察业务【check2】
3、导出接口配置【check3】
4、修改GE1端口为access，vlan为vlan3，查看业务【check4】
5、导入步骤3中导出的配置，观察接口配置和业务情况【check5】【check6】</t>
  </si>
  <si>
    <t>【check1】配置成功
【check2】仪表1、2口分别收到对端发送的报文
【check3】配置导出成功
【check4】两端业务均中断
【check5】配置导入成功，接口配置与步骤1中配置相同
【check6】业务正常恢复，仪表1、2口收到报文</t>
  </si>
  <si>
    <t>L2.vlan.isolation.034</t>
  </si>
  <si>
    <t>平滑升级测试</t>
  </si>
  <si>
    <t>操作=平滑升级</t>
  </si>
  <si>
    <t>1、配置GE1、GE2端口为二层trunk，GE1和GE2端口default vlan id为vlan1，trunk vlan id均为vlan2【check1】
2、从仪表两端发送不带vlan的报文，观察业务【check2】
3、对网元进行平滑升级.升级完成后查看接口配置和业务情况【check3】【check4】</t>
  </si>
  <si>
    <t>【check1】配置成功
【check2】仪表1、2口分别收到对端发送的报文
【check3】接口配置与升级前一致
【check4】业务正常恢复</t>
  </si>
  <si>
    <t>L2.vlan.isolation.035</t>
  </si>
  <si>
    <t>vlan范围最大时业务转发</t>
  </si>
  <si>
    <t>数据=最大vlan范围</t>
  </si>
  <si>
    <t>1、网元正常启动
2、网元GE1、GE2分别连接仪表口1、2、3，仪表1、2、3口配置同网段IP</t>
  </si>
  <si>
    <t>1、配置GE1、GE2为交换模式，类型为trunk，default vlan id为vlan1，trunk vlan id为1-4094，GE3为access，vlan为vlan1【check1】
2、从仪表两端发送不带vlan的报文，观察业务【check2】
3、从仪表两端发送带vlan为1-4094的报文，观察业务【check2】</t>
  </si>
  <si>
    <t>【check1】配置成功，存在对应日志记录
【check2】仪表1、2口分别收到对端发送的报文，仪表3口只收到vlan1的报文</t>
  </si>
  <si>
    <t>L2.vlan.isolation.036</t>
  </si>
  <si>
    <t>ipv6报文转发测试</t>
  </si>
  <si>
    <t>二层模式下ipv6报文转发测试</t>
  </si>
  <si>
    <t>数据=ipv6报文</t>
  </si>
  <si>
    <t>1、配置GE1、GE2为交换模式，类型为access，vlanid为vlan1【check1】
2、从仪表两端发送不带vlan的ipv6报文，观察业务【check2】
3、从仪表两端发送带vlan1的ipv6报文，观察业务【check2】
4、从仪表两端发送外层vlan1，内层vlan2的报文，观察业务【check2】
5、从仪表两端发送外层vlan2，内层vlan1的报文，观察业务【check3】
6、修改端口类型为trunk，default vlanid为vlan1，trunk vlanid为空，重复步骤2-5【check1】【check2】【check3】</t>
  </si>
  <si>
    <t>【check1】配置成功
【check2】仪表1、2口分别收到对端发送的报文
【check3】仪表两端未收到报文</t>
  </si>
  <si>
    <t>L2.vlan.isolation.037</t>
  </si>
  <si>
    <t>端口状态变化对二层转发的影响</t>
  </si>
  <si>
    <t>禁用端口对二层转发的影响测试</t>
  </si>
  <si>
    <t>操作=updown端口</t>
  </si>
  <si>
    <t>1、配置GE1、GE2为交换模式，类型为access，vlan id为vlan1【check1】
2、从仪表两端发送不带vlan、带一层vlan1、带外层vlan1内层vlan2的报文，观察业务【check2】
3、禁用GE1后再启用，观察业务【check3】
4、修改端口类型为trunk，default vlanid为vlan1，trunk vlanid为空，重复步骤2、3</t>
  </si>
  <si>
    <t>【check1】配置成功
【check2】仪表1、2口分别收到对端发送的报文
【check3】业务中断后正常恢复</t>
  </si>
  <si>
    <t>L2.vlan.isolation.047</t>
  </si>
  <si>
    <t>拔插网线对二层转发的影响测试</t>
  </si>
  <si>
    <t>操作=拔插网线</t>
  </si>
  <si>
    <t>1、配置GE1、GE2为交换模式，类型为access，vlan id为vlan1【check1】
2、从仪表两端发送不带vlan、带一层vlan1、带外层vlan1内层vlan2的报文，观察业务【check2】
3、拔插GE1口网线，观察业务【check3】
4、修改端口类型为trunk，default vlanid为vlan1，trunk vlanid为空，重复步骤2、3</t>
  </si>
  <si>
    <t>L2.vlan.isolation.039</t>
  </si>
  <si>
    <t>端口最大范围vlan配置</t>
  </si>
  <si>
    <t>1、网元正常启动</t>
  </si>
  <si>
    <t>1、配置GE1为交换模式，类型为trunk，default vlanid为vlan1，trunk vlanid为1-4094【check1】
2、配置GE2为交换模式，类型为trunk，default vlanid为vlan1，trunk vlanid为1-4094【check2】
3、在三层接口上配置1-4094个子接口【check3】
4、修改GE1，删除trunk vlanid中的值【check3】</t>
  </si>
  <si>
    <t>【check1】配置成功，下发成功时间不超过5s
【check2】配置成功，下发成功时间不超过3s
【check3】配置成功
【check4】删除成功，下发成功时间不超过3s</t>
  </si>
  <si>
    <t>P1-P5
P1-P2</t>
  </si>
  <si>
    <t>P2-P3
P2-P4</t>
  </si>
  <si>
    <t>P3-P6
P3-P7</t>
  </si>
  <si>
    <t>P1-P5
P1-P2-P4
P1-P2-P3-P6
P1-P2-P3-P7</t>
  </si>
  <si>
    <t>P1-P5</t>
  </si>
  <si>
    <t>异常包（源mac是广播或组播、CRC错包）-不学习MAC表项</t>
  </si>
  <si>
    <t>源MAC不是广播或组播-MAC转发表中不存在相同mac表项-学习MAC+VLAN表项</t>
  </si>
  <si>
    <t>P1-P2-P3-P7</t>
  </si>
  <si>
    <t>源MAC不是广播或组播-MAC转发表中存在相同mac表项-MAC转发表中对应表项vlan不同-学习MAC+VLAN表项</t>
  </si>
  <si>
    <t>path4</t>
  </si>
  <si>
    <t>P1-P2-P3-P6</t>
  </si>
  <si>
    <t>源MAC不是广播或组播-MAC转发表中存在相同mac表项-MAC转发表中对应表项vlan相同-表项刷新</t>
  </si>
  <si>
    <t>L2.mac.Dynamic.001</t>
  </si>
  <si>
    <t>源MAC为广播和组播时不学习MAC地址</t>
  </si>
  <si>
    <t>组播、广播</t>
  </si>
  <si>
    <t>异常包=源MAC为广播，源MAC为组播，CRC错包</t>
  </si>
  <si>
    <t>L2.mac.Dynamic.002</t>
  </si>
  <si>
    <t>源MAC在MAC转发表中不存在时学习MAC地址</t>
  </si>
  <si>
    <t>源MAC学习</t>
  </si>
  <si>
    <t>L2.mac.Dynamic.003</t>
  </si>
  <si>
    <t>MAC相同vlan不同时学习MAC地址</t>
  </si>
  <si>
    <t>MAC相同，vlan不同</t>
  </si>
  <si>
    <t>L2.mac.Dynamic.004</t>
  </si>
  <si>
    <t>MAC相同vlan相同时不学习MAC地址</t>
  </si>
  <si>
    <t>MAC和vlan均相同</t>
  </si>
  <si>
    <t>源MAC为非单播时不学习MAC地址测试</t>
  </si>
  <si>
    <t>异常包=源MAC为广播,源MAC为组播,CRC错包</t>
  </si>
  <si>
    <t>1、配置GE1和GE2为交换模式，类型为access，vlanid相同【check1】
2、从仪表1口发送$[异常包]的报文，查看网元是否学习到报文源MAC【check2】</t>
  </si>
  <si>
    <t>【check1】配置成功
【check2】网元未学习到表项</t>
  </si>
  <si>
    <t>单播MAC地址学习测试</t>
  </si>
  <si>
    <t>数据=单播mac</t>
  </si>
  <si>
    <t>1、网元正常启动
2、网元GE1、GE2分别连接仪表口1、2，仪表1、2口配置同网段IP
3、网元上转发表中不存在mac1和mac2表项</t>
  </si>
  <si>
    <t>1、配置GE1为交换模式，类型为access，vlanid为vlan1【check1】
2、从仪表1口发送源MAC为mac1，不带vlan的报文，查看网元是否学习到报文源mac【check2】
3、配置GE2为交换模式，类型为trunk，default vlan id为vlan1，trunk vlanid为vlan2【check1】
4、从仪表2口发送源MAC为mac2，不带vlan的报文，查看网元是否学习到报文源mac【check3】</t>
  </si>
  <si>
    <t>【check1】配置成功
【check2】网元学习到mac1+vlan1+GE1表项
【check3】网元学习到mac2+vlan1+GE2表项</t>
  </si>
  <si>
    <t>MAC相同VLAN不同时学习表项测试</t>
  </si>
  <si>
    <t>数据=vlan不同</t>
  </si>
  <si>
    <t>1、网元正常启动
2、网元GE1、GE2分别连接仪表口1、2，仪表1、2口配置同网段IP
3、网元上转发表中不存在mac1表项</t>
  </si>
  <si>
    <t>1、配置GE1为交换模式，类型为trunk，default vlanid为vlan1，trunk vlanid为vlan2【check1】
2、从仪表1口发送源MAC为mac1，不带vlan的报文，查看网元是否学习到报文源mac【check2】
3、从仪表1口发送源MAC为mac1，带vlan2的报文，查看网元是否学习到新表项【check3】</t>
  </si>
  <si>
    <t>【check1】配置成功
【check2】网元学习到mac1+vlan1+GE1表项
【check3】网元学习到mac1+vlan2+GE1表项，步骤2中学习到的表项仍存在</t>
  </si>
  <si>
    <t>MAC相同VLAN相同时不再学习表项测试</t>
  </si>
  <si>
    <t>数据=mac、vlan相同</t>
  </si>
  <si>
    <t>1、配置GE1为交换模式，类型为access，vlanid为vlan1【check1】
2、从仪表1口发送源MAC为mac1，不带vlan的报文，查看网元是否学习到报文源mac【check2】
3、从仪表1口发送源MAC为mac1，带vlan1的报文，查看网元是否学习到新表项【check3】</t>
  </si>
  <si>
    <t>【check1】配置成功
【check2】网元学习到mac1+vlan1+GE1表项
【check3】网元未学习到新表项，mac1+vlan1+GE1的表项触发时间更新</t>
  </si>
  <si>
    <t>L2.mac.Dynamic.005</t>
  </si>
  <si>
    <t>数据=mac老化</t>
  </si>
  <si>
    <t>1、网元正常启动
2、网元GE1、GE2、GE3分别连接仪表口1、2、3，仪表1、2、3口配置同网段IP
3、网元上转发表中不存在mac1表项</t>
  </si>
  <si>
    <t>1、配置GE1为交换模式，类型为access，vlanid为vlan1【check1】
2、从仪表1口发送源MAC为mac1，不带vlan的报文，查看网元是否学习到报文源mac【check2】
3、从仪表2口发送目的MAC为mac1的报文，观察仪表接收情况【check3】
4、等待aging time后，在网元上查看转发表【check4】
5、重复步骤3，观察仪表接收报文情况【check5】</t>
  </si>
  <si>
    <t>【check1】配置成功
【check2】网元学习到mac1+vlan1+GE1表项
【check3】仪表1口收到报文，仪表3口未收到报文
【check4】网元上不存在mac1+vlan1+GE1表项
【check5】仪表1口和3口均收到报文</t>
  </si>
  <si>
    <t>L2.mac.Dynamic.006</t>
  </si>
  <si>
    <t>操作=手动清除</t>
  </si>
  <si>
    <t>1、网元正常启动
2、网元GE1、GE2分别连接仪表口1、2、3，仪表1、2、3口配置同网段IP
3、网元上转发表中不存在mac1表项</t>
  </si>
  <si>
    <t>1、配置GE1、GE2和GE3为交换模式，类型为access，vlanid相同【check1】
2、从仪表1口发送源mac1的报文，查看网元是否学习到报文源MAC【check2】
3、从仪表2口发送目的mac为mac1的报文，观察仪表1、3口是否收到报文【check3】
4、手动在网元后台清空MAC转发表，观察报文转发情况【check4】</t>
  </si>
  <si>
    <t>【check1】配置成功
【check2】网元学习到mac1+vlan1+GE1表项
【check3】仪表1口收到报文，仪表3口未收到报文
【check4】MAC转发表项被清空，仪表1、3口均收到报文</t>
  </si>
  <si>
    <t>L2.mac.Dynamic.007</t>
  </si>
  <si>
    <t>操作=端口down</t>
  </si>
  <si>
    <t>1、配置GE1、GE2和GE3为交换模式，类型为access，vlanid相同【check1】
2、从仪表1口发送源mac1的报文，查看网元是否学习到报文源MAC【check2】
3、从仪表2口发送目的mac为mac1的报文，观察仪表1、3口是否收到报文【check3】
4、构造GE1端口down掉，查看网元MAC转发表，观察报文转发情况【check4】【check5】</t>
  </si>
  <si>
    <t>【check1】配置成功
【check2】网元学习到mac1+vlan1+GE1表项
【check3】仪表1口收到报文，仪表3口未收到报文
【check4】MAC转发表中不存在mac1+vlan1+GE1表项
【check5】仪表3口收到报文</t>
  </si>
  <si>
    <t>L2.mac.Dynamic.008</t>
  </si>
  <si>
    <t>数据=最大转发表项</t>
  </si>
  <si>
    <t>1、网元正常启动
2、网元GE1、GE2分别连接仪表口1、2、3，仪表1、2、3口配置同网段IP
3、网元上转发表中不存在表项</t>
  </si>
  <si>
    <t>1、配置GE1、GE2和GE3为交换模式，类型为access，vlanid相同【check1】
2、从仪表1口发送源mac变化（mac.max-1）个的报文，查看网元是否学习到报文源MAC【check2】
3、从仪表1口发送不在mac转发表中源mac的报文，查看网元是否学习到新的mac表项【check3】
4、从仪表1口发送不在mac转发表中源mac的报文，查看网元是否学习到新的mac表项【check4】</t>
  </si>
  <si>
    <t>【check1】配置成功
【check2】网元上学习到(mac.max-1)个转发表项
【check3】网元上学习到mac.max个转发表项
【check4】网元上mac转发表数量未发生变化</t>
  </si>
  <si>
    <t>L2.mac.Dynamic.009</t>
  </si>
  <si>
    <t>1、配置GE1、GE2和GE3为交换模式，类型为access，vlanid为vlan1【check1】
2、从仪表1口发送源MAC为mac1，不带vlan的报文，查看网元是否学习到报文源mac【check2】
3、从仪表2口发送目的mac为mac1的报文，查看仪表1、3口是否收到报文【check3】
4、对网元进行平滑升级，升级完成后重复步骤2、3【check2】【check3】</t>
  </si>
  <si>
    <t>【check1】配置成功
【check2】网元学习到mac1+vlan1+GE1表项
【check3】仪表1口收到报文，仪表3口未收到报文</t>
  </si>
  <si>
    <t>L2.mac.migration.001</t>
  </si>
  <si>
    <t>相同MAC和VLAN报文从不同端口进入刷新MAC表项</t>
  </si>
  <si>
    <t>相同报文</t>
  </si>
  <si>
    <t>L2.mac.migration.002</t>
  </si>
  <si>
    <t>相同MAC不同VLAN报文从不同端口进入</t>
  </si>
  <si>
    <t>相同MAC不同VLAN</t>
  </si>
  <si>
    <t>MAC表项刷新测试</t>
  </si>
  <si>
    <t>数据=相同报文，不同端口</t>
  </si>
  <si>
    <t>1、配置GE1、GE2为交换模式，类型为access，vlanid为vlan1【check1】
2、从仪表1口发送源mac为mac1，不带vlan的报文，在网元上查看MAC转发表【check2】
3、从仪表2口发送源mac为mac1，不带vlan的报文，在网元上查看MAC转发表【check3】
4、从仪表2口发送源mac为mac1，带vlan1的报文，在网元上查看MAC转发表【check4】</t>
  </si>
  <si>
    <t>【check1】配置成功
【check2】网元学习到mac1+vlan1+GE1表项
【check3】网元学习到mac1+vlan1+GE2表项，mac1+vlan1+GE1表项不存在
【check4】网元MAC转发表表项未刷新</t>
  </si>
  <si>
    <t>MAC相同VLAN不同时从不同端口进入学习MAC表项测试</t>
  </si>
  <si>
    <t>数据=mac相同vlan不同，不同端口</t>
  </si>
  <si>
    <t>1、配置GE1为交换模式，类型为access，vlanid为vlan1；GE2为交换模式，类型为access，vlanid为vlan2【check1】
2、从仪表1口发送源mac为mac1，不带vlan的报文，在网元上查看MAC转发表【check2】
3、从仪表2口发送源mac为mac1，不带vlan的报文，在网元上查看MAC转发表【check3】</t>
  </si>
  <si>
    <t>【check1】配置成功
【check2】网元学习到mac1+vlan1+GE1表项
【check3】网元学习到mac1+vlan2+GE2表项，mac1+vlan1+GE1表项仍存在</t>
  </si>
  <si>
    <t>L2.mac.migration.003</t>
  </si>
  <si>
    <t>数据=MAC表项刷新</t>
  </si>
  <si>
    <t>1、网元正常启动
2、网元GE1、GE2和GE3分别连接仪表口1、2、3，仪表1、2、3口配置同网段IP
3、网元上转发表中不存在mac1表项</t>
  </si>
  <si>
    <t>1、配置GE1、GE2和GE3为交换模式，类型为access，vlanid为vlan1【check1】
2、从仪表1口发送源mac为mac1，不带vlan的报文，在网元上查看MAC转发表【check2】
3、从仪表3口发送目的mac为mac1，不带vlan的报文，查看仪表1口和2口是否收到报文【check3】
4、从仪表2口发送源mac为mac1，不带vlan的报文，在网元上查看MAC转发表【check4】
5、重复步骤3【check5】</t>
  </si>
  <si>
    <t>【check1】配置成功
【check2】网元学习到mac1+vlan1+GE1表项
【check3】仪表1口收到报文，仪表2口未收到报文
【check4】网元学习到mac1+vlan1+GE2表项，mac1+vlan1+GE1表项不存在
【check5】仪表1口未收到报文，仪表2口收到报文</t>
  </si>
  <si>
    <t>L2.mac.migration.004</t>
  </si>
  <si>
    <t>数据=最大表项</t>
  </si>
  <si>
    <t>1、配置GE1、GE2和GE3为交换模式，类型为access，vlanid相同【check1】
2、从仪表1口发送源mac变化mac.max个的报文（包含mac1），查看网元是否学习到报文源MAC【check2】
3、从仪表2口发送源mac为mac1的报文，查看网元mac表项【check3】</t>
  </si>
  <si>
    <t>【check1】配置成功
【check2】网元学习到mac.max个表项，其中包括mac1+vlan1+GE1表项
【check3】网元表项数量未变化，mac1+vlan1+GE1表项不存在，刷新为mac1+vlan1+GE2，其他表项未发生变化</t>
  </si>
  <si>
    <t>一级目录</t>
  </si>
  <si>
    <t>二级目录</t>
  </si>
  <si>
    <t>三级目录</t>
  </si>
  <si>
    <t>用例名称*</t>
  </si>
  <si>
    <t>编号*</t>
  </si>
  <si>
    <t>ID*</t>
  </si>
  <si>
    <t>用例级别*</t>
  </si>
  <si>
    <t>组网描述*</t>
  </si>
  <si>
    <t>组网约束</t>
  </si>
  <si>
    <t>测试步骤*</t>
  </si>
  <si>
    <t>预期结果*</t>
  </si>
  <si>
    <t>适用版本*</t>
  </si>
  <si>
    <t>设备类型*</t>
  </si>
  <si>
    <t>单板类型</t>
  </si>
  <si>
    <t>关键词</t>
  </si>
  <si>
    <t>测试类型*</t>
  </si>
  <si>
    <t>是否自动化*</t>
  </si>
  <si>
    <t>需求编号</t>
  </si>
  <si>
    <t>备注</t>
  </si>
  <si>
    <t>LEVEL0</t>
  </si>
  <si>
    <t>LEVEL1</t>
  </si>
  <si>
    <t>LEVEL2</t>
  </si>
  <si>
    <t>LEVEL3</t>
  </si>
  <si>
    <t>LEVEL4</t>
  </si>
  <si>
    <t>LEVEL5</t>
  </si>
  <si>
    <t>LEVEL6</t>
  </si>
  <si>
    <t>配置测试</t>
  </si>
  <si>
    <t>功能测试</t>
  </si>
  <si>
    <t>耦合测试</t>
  </si>
  <si>
    <t>可靠性测试</t>
  </si>
  <si>
    <t>性能测试</t>
  </si>
  <si>
    <t>升级测试</t>
  </si>
  <si>
    <t>MAC转发</t>
  </si>
  <si>
    <t>VLAN隔离</t>
  </si>
  <si>
    <t>1、修改GE1模式为hybrid，配置VLAN ID为1-4094之间任一值【check1】
2、修改GE1模式为中文，配置VLAN ID为1-4094之间任一值【check1】
3、修改GE1模式为数字，配置VLAN ID为1-4094之间任一值【check1】
4、修改GE1模式为特殊字符，配置VLAN ID为1-4094之间任一值【check1】
5、修改GE1模式为空，配置VLAN ID为1-4094之间任一值【check1】</t>
  </si>
  <si>
    <t>1、修改GE1模式为access，配置 VLAN ID为1-4094之间任一值【check1】
2、修改VLAN ID为0【check2】
3、修改VLAN ID为4095【check2】
4、修改VLAN ID为空【check2】
5、修改VLAN ID为&lt;1，&gt;4094，英文，中文，特殊字符【check2】</t>
  </si>
  <si>
    <t>1、修改GE1模式为trunk，配置 VLAN ID为1-4094之间任一值【check1】
2、修改Default VLAN ID为0【check2】
3、修改Default VLAN ID为4095【check2】
4、修改Default VLAN ID为空【check2】
5、修改Default VLAN ID为&lt;1，&gt;4094，英文，中文，特殊字符【check2】</t>
  </si>
  <si>
    <t>1、修改GE1模式为trunk，配置Trunk VLAN ID为逗号连接单个1-4094范围的数字【check1】
2、修改GE1模式为trunk，配置Trunk VLAN ID为"-"连接的1-4094内的范围【check1】
3、修改GE1模式为trunk，配置Trunk VLAN ID为空【check1】
4、修改Trunk VLAN ID为逗号连接字符串中存在&lt;1的数，逗号连接字符串中存在&gt;4094的数，"-"连接的起始值大于结束值，英文，中文，特殊字符，超长字符串【check2】</t>
  </si>
  <si>
    <t>1、配置GE1为二层trunk，default vlan id为vlan1，trunk vlan id为vlan3、vlan4【check1】
2、从仪表2口发送带vlan1的报文，查看仪表1口是否收到报文并抓包【check2】
3、从仪表2口发送带vlan3的报文，查看仪表1口是否收到报文并抓包【check3】
4、从仪表2口发送带vlan4的报文，查看仪表1口是否收到报文并抓包【check4】
5、从仪表2口发送带vlan2的报文，查看仪表1口是否收到【check5】</t>
  </si>
  <si>
    <t>1、配置GE1为二层trunk，default vlan id为vlan1，trunk vlan id为vlan3、vlan4【check1】
2、从仪表2口发送带外层vlan1，内层vlan2的报文，查看仪表1口是否收到报文并抓包【check2】
3、从仪表2口发送带外层vlan3，内层vlan2的报文，查看仪表1口是否收到报文并抓包【check3】
4、从仪表2口发送带外层vlan4，内层vlan2的报文，查看仪表1口是否收到报文并抓包【check4】
5、从仪表2口发送带外层vlan2，内层vlan1的报文，查看仪表1口是否收到【check5】</t>
  </si>
  <si>
    <t>1、配置GE1、GE2口为access，vlanid为vlan1【check1】
2、分别从仪表1、2口发送带0的报文，查看两端是否收到报文【check2】
3、分别从仪表1、2口发送带4095的报文，查看两端是否收到报文【check2】</t>
  </si>
  <si>
    <t>1、配置GE1、GE2口为trunk，vlanid为vlan1，trunk vlan id为1-4094【check1】
2、分别从仪表1、2口发送带0的报文，查看两端是否收到报文【check2】
3、分别从仪表1、2口发送带4095的报文，查看两端是否收到报文【check2】</t>
  </si>
  <si>
    <t>命令重启对二层转发的影响测试</t>
  </si>
  <si>
    <t xml:space="preserve">1、配置GE1、GE2接口为交换模式，类型为access，vlan id为vlan1【check1】
2、从仪表两端发送不带vlan、带一层vlan1、带外层vlan1内层vlan2的报文，观察业务【check2】
3、对防火墙进行命令重启，重启成功后查看端口配置和业务【check3】【check4】
4、重复步骤2、3至少10次
</t>
  </si>
  <si>
    <t>掉电重启对二层转发的影响测试</t>
  </si>
  <si>
    <t xml:space="preserve">1、配置GE1、GE2接口为交换模式，类型为access，vlan id为vlan1【check1】
2、从仪表两端发送不带vlan、带一层vlan1、带外层vlan1内层vlan2的报文，观察业务【check2】
3、对防火墙进行掉电重启，重启成功后查看端口配置和业务【check3】【check4】
4、重复步骤2、3至少10次
</t>
  </si>
  <si>
    <t>1、配置GE1和GE2为交换模式，类型为access，vlanid相同【check1】
2、从仪表1口发送源MAC为广播的报文，查看网元是否学习到报文源MAC【check2】
3、从仪表1口发送源MAC为组播的报文，查看网元是否学习到报文源MAC【check2】
4、从仪表1口发送CRC错包的报文，查看网元是否学习到报文源MAC【check2】</t>
  </si>
  <si>
    <t>统计信息</t>
  </si>
  <si>
    <t>用例级别</t>
  </si>
  <si>
    <t>目标占比</t>
  </si>
  <si>
    <t>实际占比</t>
  </si>
  <si>
    <t>LEVEL0~1</t>
  </si>
  <si>
    <t>&lt;15%</t>
  </si>
  <si>
    <t>LEVEL2~3</t>
  </si>
  <si>
    <t>&gt;40%</t>
  </si>
  <si>
    <t>LEVEL0~3</t>
  </si>
  <si>
    <t>&gt;60%</t>
  </si>
  <si>
    <t>可自动化率</t>
  </si>
  <si>
    <t>详细数据</t>
  </si>
  <si>
    <t>数量</t>
  </si>
  <si>
    <t>占比</t>
  </si>
  <si>
    <t>是否自动化</t>
  </si>
  <si>
    <t>是</t>
  </si>
  <si>
    <t>否</t>
  </si>
  <si>
    <t>总数</t>
  </si>
  <si>
    <t>用例基线时间点</t>
  </si>
  <si>
    <t>TR5基线一次</t>
  </si>
  <si>
    <t>TR6基线一次</t>
  </si>
  <si>
    <t>字段填写说明</t>
  </si>
  <si>
    <t>用例编号</t>
  </si>
  <si>
    <t>使用1到4级目录加三位数字，例如SrvQuality.Qos.Classfy.DiffServ001</t>
  </si>
  <si>
    <t>使用LEVEL0~LEVEL6级，定义说明见下表</t>
  </si>
  <si>
    <t>层级描述</t>
  </si>
  <si>
    <t>统计说明</t>
  </si>
  <si>
    <t>包含配置测试、配置容错测试</t>
  </si>
  <si>
    <t>1、基本用例Level0~Level3占比总用例60%以上；Level0~Level1占总用例不超过15%，Level2~Level3占总用例至少40%
2、Level0、Level2级别的用例可以做自动化用例；Level1、Level3级别的用例争取做自动化</t>
  </si>
  <si>
    <t>配置可靠性测试</t>
  </si>
  <si>
    <t>包含配置容限测试、Oplog</t>
  </si>
  <si>
    <t>基本功能测试</t>
  </si>
  <si>
    <t>客户常用功能和常用告警性能</t>
  </si>
  <si>
    <t>扩展功能测试</t>
  </si>
  <si>
    <t>客户不常用的功能和不常用告警性能</t>
  </si>
  <si>
    <t>特性可靠性</t>
  </si>
  <si>
    <t>包含单特性的可靠性测试用例。包括反复增删单特性配置、复位重启、拔插单板、网线、主备切换等</t>
  </si>
  <si>
    <t>特性耦合测试</t>
  </si>
  <si>
    <t>包含两特性耦合和多特性耦合测试用例</t>
  </si>
  <si>
    <t>特性升级</t>
  </si>
  <si>
    <t>单特性的升级测试用例，包括升级前后配置检查、升级后观察业务、增删配置等</t>
  </si>
  <si>
    <t>组网描述</t>
  </si>
  <si>
    <t>必须是用英文的逗号分隔。例如Update01,Update02</t>
  </si>
  <si>
    <t>按实际情况填写</t>
  </si>
  <si>
    <t>通常一个用例不超过7步</t>
  </si>
  <si>
    <t>使用check点的方式填写</t>
  </si>
  <si>
    <t>适用版本</t>
  </si>
  <si>
    <t>必须以英文逗号分隔,必须使用统一的名称:V1R1C00,V1R1C01</t>
  </si>
  <si>
    <t>必须以英文逗号分隔,J1900,C236,EP</t>
  </si>
  <si>
    <t>必须以英文逗号分隔,</t>
  </si>
  <si>
    <t>必须以逗号分隔，公共的关键字必须一致，新增关键字找用例管理员申请</t>
  </si>
  <si>
    <t>LEVEL0,LEVEL1--&gt;配置测试；LEVEL2,LEVEL3--&gt;功能测试；LEVEL4--&gt;可靠性测试；LEVL5--&gt;耦合测试；LEVEL6--&gt;升级测试</t>
  </si>
  <si>
    <t>"是"或者"否"</t>
  </si>
  <si>
    <t>暂时不填</t>
  </si>
  <si>
    <t xml:space="preserve">按实际情况填写
用例生成工具说明:
1、测试数据以"key1=value1,value2;key2=val1,val2"的形式写作。不同数据名称之间以分号";"分割，相同数据名称的不同取值之间以逗号","分隔
1、一行数据一个测试用例说明
    ${}形式的测试数据直接替换
    $[]形式的测试数据会在同一个用例中重复测试步骤
2、一行数据多个测试用例说明
    用例标题中的包含1个变量${key}中包含多个值例如key=val1,val2,val3会生成3个用例
    用例标题中的包含多个变量${key1}${key2}${key3},该用例会生成所有key中取值最大的数量的用例，非最大取值数量的数据名称会保证每个取值至少出现一次
</t>
  </si>
  <si>
    <t>网络特性</t>
    <phoneticPr fontId="1" type="noConversion"/>
  </si>
  <si>
    <t>二层交换</t>
    <phoneticPr fontId="1" type="noConversion"/>
  </si>
  <si>
    <t>二层转发</t>
    <phoneticPr fontId="1" type="noConversion"/>
  </si>
  <si>
    <t>vlan转发</t>
    <phoneticPr fontId="1" type="noConversion"/>
  </si>
  <si>
    <t>L2.vlan.macforward.001</t>
    <phoneticPr fontId="1" type="noConversion"/>
  </si>
  <si>
    <t>L2.vlan.macforward.010</t>
  </si>
  <si>
    <t>L2.vlan.isolation.001</t>
    <phoneticPr fontId="1" type="noConversion"/>
  </si>
  <si>
    <t>L2.vlan.isolation.032</t>
  </si>
  <si>
    <t>L2.vlan.isolation.038</t>
  </si>
  <si>
    <t>L2.vlan.isolation.040</t>
  </si>
  <si>
    <t>L2.mac.Dynamic.001</t>
    <phoneticPr fontId="1" type="noConversion"/>
  </si>
  <si>
    <t>L2.mac.migration.001</t>
    <phoneticPr fontId="1" type="noConversion"/>
  </si>
  <si>
    <t>NGFW_V60R1C00</t>
  </si>
  <si>
    <t>J1900,C236,EP</t>
  </si>
  <si>
    <t>否</t>
    <phoneticPr fontId="1" type="noConversion"/>
  </si>
  <si>
    <t>否</t>
    <phoneticPr fontId="1" type="noConversion"/>
  </si>
  <si>
    <t>否</t>
    <phoneticPr fontId="1" type="noConversion"/>
  </si>
  <si>
    <t>是</t>
    <phoneticPr fontId="1" type="noConversion"/>
  </si>
  <si>
    <t>是</t>
    <phoneticPr fontId="1" type="noConversion"/>
  </si>
  <si>
    <t>是</t>
    <phoneticPr fontId="1" type="noConversion"/>
  </si>
  <si>
    <t>是</t>
    <phoneticPr fontId="1" type="noConversion"/>
  </si>
  <si>
    <t>1、配置GE1为交换模式，类型为access，vlanid为vlan1【check1】
2、从仪表1口发送源MAC为mac1，不带vlan的报文，查看网元是否学习到报文源mac【check2】
3、从仪表2口发送目的MAC为mac1的报文，观察仪表接收情况【check3】
4、等待aging time（5分钟）后，在网元上查看转发表【check4】
5、重复步骤3，观察仪表接收报文情况【check5】</t>
    <phoneticPr fontId="1" type="noConversion"/>
  </si>
  <si>
    <t>配置管理</t>
    <phoneticPr fontId="1" type="noConversion"/>
  </si>
  <si>
    <t>二层配置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</si>
</sst>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34"/>
      <color theme="1"/>
      <name val="华文细黑"/>
      <family val="3"/>
      <charset val="134"/>
    </font>
    <font>
      <b/>
      <sz val="14"/>
      <color theme="1"/>
      <name val="华文细黑"/>
      <family val="3"/>
      <charset val="134"/>
    </font>
    <font>
      <sz val="14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6"/>
      <color theme="1"/>
      <name val="华文细黑"/>
      <family val="3"/>
      <charset val="134"/>
    </font>
    <font>
      <sz val="11"/>
      <color theme="1"/>
      <name val="华文细黑"/>
      <family val="3"/>
      <charset val="134"/>
    </font>
    <font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>
      <alignment vertical="center"/>
    </xf>
    <xf numFmtId="9" fontId="11" fillId="0" borderId="0">
      <alignment vertical="center"/>
    </xf>
    <xf numFmtId="0" fontId="12" fillId="0" borderId="0">
      <alignment vertical="center"/>
    </xf>
  </cellStyleXfs>
  <cellXfs count="150">
    <xf numFmtId="0" fontId="0" fillId="0" borderId="0" xfId="0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7" xfId="0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14" fontId="7" fillId="2" borderId="1" xfId="0" applyNumberFormat="1" applyFont="1" applyFill="1" applyBorder="1" applyAlignment="1">
      <alignment horizontal="center" vertical="center"/>
    </xf>
    <xf numFmtId="0" fontId="0" fillId="2" borderId="10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8" fillId="4" borderId="1" xfId="0" applyFont="1" applyFill="1" applyBorder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vertical="center"/>
    </xf>
    <xf numFmtId="9" fontId="0" fillId="0" borderId="0" xfId="0" applyNumberFormat="1" applyAlignment="1">
      <alignment horizontal="center" vertical="center"/>
    </xf>
    <xf numFmtId="0" fontId="9" fillId="6" borderId="1" xfId="0" applyFont="1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9" fontId="0" fillId="5" borderId="1" xfId="0" applyNumberFormat="1" applyFill="1" applyBorder="1" applyAlignment="1">
      <alignment horizontal="center" vertical="center"/>
    </xf>
    <xf numFmtId="10" fontId="0" fillId="5" borderId="1" xfId="0" applyNumberForma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9" fontId="0" fillId="8" borderId="1" xfId="1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9" fillId="7" borderId="0" xfId="0" applyFont="1" applyFill="1" applyAlignment="1">
      <alignment vertical="center"/>
    </xf>
    <xf numFmtId="0" fontId="10" fillId="5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8" fillId="0" borderId="16" xfId="0" applyFont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8" fillId="5" borderId="16" xfId="0" applyFont="1" applyFill="1" applyBorder="1" applyAlignment="1">
      <alignment vertical="center"/>
    </xf>
    <xf numFmtId="0" fontId="10" fillId="5" borderId="16" xfId="0" applyFont="1" applyFill="1" applyBorder="1" applyAlignment="1">
      <alignment vertical="center" wrapText="1"/>
    </xf>
    <xf numFmtId="0" fontId="8" fillId="4" borderId="16" xfId="0" applyFont="1" applyFill="1" applyBorder="1" applyAlignment="1">
      <alignment vertical="center" wrapText="1"/>
    </xf>
    <xf numFmtId="0" fontId="8" fillId="0" borderId="16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0" xfId="0" applyAlignment="1"/>
    <xf numFmtId="0" fontId="8" fillId="4" borderId="26" xfId="0" applyFont="1" applyFill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49" fontId="0" fillId="0" borderId="0" xfId="0" applyNumberFormat="1" applyAlignment="1"/>
    <xf numFmtId="0" fontId="0" fillId="2" borderId="29" xfId="0" applyFill="1" applyBorder="1" applyAlignment="1">
      <alignment vertical="top"/>
    </xf>
    <xf numFmtId="0" fontId="0" fillId="0" borderId="0" xfId="0" applyAlignment="1">
      <alignment vertical="center" wrapText="1"/>
    </xf>
    <xf numFmtId="0" fontId="0" fillId="0" borderId="29" xfId="0" applyBorder="1" applyAlignment="1">
      <alignment horizontal="center" vertical="center"/>
    </xf>
    <xf numFmtId="0" fontId="0" fillId="0" borderId="29" xfId="0" applyBorder="1" applyAlignment="1">
      <alignment vertical="center" wrapText="1"/>
    </xf>
    <xf numFmtId="0" fontId="0" fillId="0" borderId="29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26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5" borderId="29" xfId="0" applyFont="1" applyFill="1" applyBorder="1" applyAlignment="1">
      <alignment vertical="center"/>
    </xf>
    <xf numFmtId="0" fontId="8" fillId="4" borderId="29" xfId="0" applyFont="1" applyFill="1" applyBorder="1" applyAlignment="1">
      <alignment vertical="center" wrapText="1"/>
    </xf>
    <xf numFmtId="0" fontId="8" fillId="4" borderId="18" xfId="0" applyFont="1" applyFill="1" applyBorder="1" applyAlignment="1">
      <alignment vertical="center" wrapText="1"/>
    </xf>
    <xf numFmtId="0" fontId="0" fillId="2" borderId="0" xfId="0" applyFill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5" borderId="29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9" fillId="6" borderId="16" xfId="0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9" fillId="3" borderId="39" xfId="0" applyFont="1" applyFill="1" applyBorder="1" applyAlignment="1">
      <alignment horizontal="center" vertical="center"/>
    </xf>
    <xf numFmtId="49" fontId="9" fillId="3" borderId="39" xfId="0" applyNumberFormat="1" applyFont="1" applyFill="1" applyBorder="1" applyAlignment="1">
      <alignment horizontal="center" vertical="center"/>
    </xf>
    <xf numFmtId="0" fontId="0" fillId="0" borderId="39" xfId="0" applyBorder="1" applyAlignment="1"/>
    <xf numFmtId="0" fontId="0" fillId="0" borderId="39" xfId="0" applyBorder="1" applyAlignment="1">
      <alignment vertical="center"/>
    </xf>
    <xf numFmtId="0" fontId="0" fillId="0" borderId="40" xfId="0" applyBorder="1" applyAlignment="1"/>
    <xf numFmtId="0" fontId="0" fillId="0" borderId="41" xfId="0" applyBorder="1" applyAlignment="1"/>
    <xf numFmtId="0" fontId="0" fillId="0" borderId="42" xfId="0" applyBorder="1" applyAlignment="1"/>
    <xf numFmtId="49" fontId="0" fillId="0" borderId="29" xfId="0" applyNumberFormat="1" applyBorder="1" applyAlignment="1"/>
    <xf numFmtId="0" fontId="0" fillId="0" borderId="0" xfId="0" applyAlignment="1">
      <alignment vertical="center"/>
    </xf>
    <xf numFmtId="0" fontId="7" fillId="2" borderId="16" xfId="0" applyFont="1" applyFill="1" applyBorder="1" applyAlignment="1">
      <alignment horizontal="left" vertical="center"/>
    </xf>
    <xf numFmtId="0" fontId="0" fillId="0" borderId="8" xfId="0" applyBorder="1" applyAlignment="1"/>
    <xf numFmtId="0" fontId="0" fillId="0" borderId="9" xfId="0" applyBorder="1" applyAlignment="1"/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4" fillId="2" borderId="7" xfId="0" applyFont="1" applyFill="1" applyBorder="1" applyAlignment="1">
      <alignment horizontal="center" vertical="center"/>
    </xf>
    <xf numFmtId="0" fontId="0" fillId="0" borderId="7" xfId="0" applyBorder="1" applyAlignment="1"/>
    <xf numFmtId="0" fontId="6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8" xfId="0" applyBorder="1" applyAlignment="1"/>
    <xf numFmtId="0" fontId="0" fillId="0" borderId="19" xfId="0" applyBorder="1" applyAlignment="1"/>
    <xf numFmtId="14" fontId="4" fillId="2" borderId="7" xfId="0" applyNumberFormat="1" applyFont="1" applyFill="1" applyBorder="1" applyAlignment="1">
      <alignment horizontal="center" vertical="center"/>
    </xf>
    <xf numFmtId="0" fontId="0" fillId="2" borderId="26" xfId="0" applyFill="1" applyBorder="1" applyAlignment="1">
      <alignment horizontal="left" vertical="top"/>
    </xf>
    <xf numFmtId="0" fontId="0" fillId="0" borderId="27" xfId="0" applyBorder="1" applyAlignment="1"/>
    <xf numFmtId="0" fontId="0" fillId="2" borderId="29" xfId="0" applyFill="1" applyBorder="1" applyAlignment="1">
      <alignment vertical="center"/>
    </xf>
    <xf numFmtId="0" fontId="0" fillId="0" borderId="14" xfId="0" applyBorder="1" applyAlignment="1"/>
    <xf numFmtId="0" fontId="0" fillId="0" borderId="30" xfId="0" applyBorder="1" applyAlignment="1"/>
    <xf numFmtId="0" fontId="0" fillId="2" borderId="29" xfId="0" applyFill="1" applyBorder="1" applyAlignment="1">
      <alignment horizontal="center" vertical="top"/>
    </xf>
    <xf numFmtId="0" fontId="0" fillId="0" borderId="31" xfId="0" applyBorder="1" applyAlignment="1"/>
    <xf numFmtId="0" fontId="0" fillId="0" borderId="32" xfId="0" applyBorder="1" applyAlignment="1"/>
    <xf numFmtId="0" fontId="0" fillId="0" borderId="33" xfId="0" applyBorder="1" applyAlignment="1"/>
    <xf numFmtId="0" fontId="0" fillId="0" borderId="0" xfId="0" applyAlignment="1">
      <alignment vertical="center"/>
    </xf>
    <xf numFmtId="0" fontId="0" fillId="0" borderId="34" xfId="0" applyBorder="1" applyAlignment="1"/>
    <xf numFmtId="0" fontId="0" fillId="0" borderId="35" xfId="0" applyBorder="1" applyAlignment="1"/>
    <xf numFmtId="0" fontId="0" fillId="0" borderId="36" xfId="0" applyBorder="1" applyAlignment="1"/>
    <xf numFmtId="0" fontId="10" fillId="3" borderId="16" xfId="0" applyFont="1" applyFill="1" applyBorder="1" applyAlignment="1">
      <alignment horizontal="left" vertical="center" wrapText="1"/>
    </xf>
    <xf numFmtId="0" fontId="10" fillId="5" borderId="16" xfId="0" applyFont="1" applyFill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/>
    </xf>
    <xf numFmtId="0" fontId="10" fillId="3" borderId="16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 wrapText="1"/>
    </xf>
    <xf numFmtId="0" fontId="8" fillId="0" borderId="16" xfId="0" applyFont="1" applyBorder="1" applyAlignment="1">
      <alignment horizontal="center" vertical="center" wrapText="1"/>
    </xf>
    <xf numFmtId="0" fontId="0" fillId="0" borderId="21" xfId="0" applyBorder="1" applyAlignment="1"/>
    <xf numFmtId="0" fontId="0" fillId="0" borderId="22" xfId="0" applyBorder="1" applyAlignment="1"/>
    <xf numFmtId="0" fontId="8" fillId="0" borderId="29" xfId="0" applyFont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 wrapText="1"/>
    </xf>
    <xf numFmtId="0" fontId="0" fillId="0" borderId="37" xfId="0" applyBorder="1" applyAlignment="1"/>
    <xf numFmtId="0" fontId="0" fillId="0" borderId="38" xfId="0" applyBorder="1" applyAlignment="1"/>
    <xf numFmtId="0" fontId="8" fillId="0" borderId="29" xfId="0" applyFont="1" applyBorder="1" applyAlignment="1">
      <alignment horizontal="left" vertical="center" wrapText="1"/>
    </xf>
    <xf numFmtId="0" fontId="0" fillId="0" borderId="16" xfId="0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0" fillId="0" borderId="26" xfId="0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5" borderId="29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0" fillId="0" borderId="29" xfId="0" applyBorder="1" applyAlignment="1">
      <alignment horizontal="center" vertical="center" wrapText="1"/>
    </xf>
    <xf numFmtId="0" fontId="10" fillId="0" borderId="29" xfId="0" applyFont="1" applyBorder="1" applyAlignment="1">
      <alignment horizontal="right" vertical="center" wrapText="1"/>
    </xf>
    <xf numFmtId="0" fontId="10" fillId="5" borderId="29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5" xfId="0" applyBorder="1" applyAlignment="1"/>
    <xf numFmtId="0" fontId="10" fillId="3" borderId="2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left" vertical="center" wrapText="1"/>
    </xf>
    <xf numFmtId="0" fontId="0" fillId="0" borderId="17" xfId="0" applyBorder="1" applyAlignment="1"/>
    <xf numFmtId="0" fontId="0" fillId="0" borderId="20" xfId="0" applyBorder="1" applyAlignment="1"/>
    <xf numFmtId="0" fontId="0" fillId="0" borderId="23" xfId="0" applyBorder="1" applyAlignment="1"/>
    <xf numFmtId="0" fontId="0" fillId="0" borderId="24" xfId="0" applyBorder="1" applyAlignment="1"/>
    <xf numFmtId="0" fontId="0" fillId="0" borderId="25" xfId="0" applyBorder="1" applyAlignment="1"/>
    <xf numFmtId="0" fontId="0" fillId="0" borderId="22" xfId="0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0" fillId="0" borderId="28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</cellXfs>
  <cellStyles count="3">
    <cellStyle name="百分比" xfId="1" builtinId="5"/>
    <cellStyle name="常规" xfId="0" builtinId="0"/>
    <cellStyle name="常规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603250</xdr:colOff>
          <xdr:row>1</xdr:row>
          <xdr:rowOff>31750</xdr:rowOff>
        </xdr:from>
        <xdr:to>
          <xdr:col>10</xdr:col>
          <xdr:colOff>412750</xdr:colOff>
          <xdr:row>15</xdr:row>
          <xdr:rowOff>31750</xdr:rowOff>
        </xdr:to>
        <xdr:sp macro="" textlink="">
          <xdr:nvSpPr>
            <xdr:cNvPr id="7169" name="Object 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476250</xdr:colOff>
          <xdr:row>10</xdr:row>
          <xdr:rowOff>31750</xdr:rowOff>
        </xdr:from>
        <xdr:to>
          <xdr:col>4</xdr:col>
          <xdr:colOff>279400</xdr:colOff>
          <xdr:row>10</xdr:row>
          <xdr:rowOff>5048250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1346200</xdr:colOff>
          <xdr:row>9</xdr:row>
          <xdr:rowOff>69850</xdr:rowOff>
        </xdr:from>
        <xdr:to>
          <xdr:col>5</xdr:col>
          <xdr:colOff>869950</xdr:colOff>
          <xdr:row>9</xdr:row>
          <xdr:rowOff>5162550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__.vsd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__1.vsdx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openxmlformats.org/officeDocument/2006/relationships/comments" Target="../comments1.xml"/><Relationship Id="rId4" Type="http://schemas.openxmlformats.org/officeDocument/2006/relationships/image" Target="../media/image2.emf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__2.vsdx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J35"/>
  <sheetViews>
    <sheetView zoomScale="130" zoomScaleNormal="130" workbookViewId="0">
      <selection activeCell="Q22" sqref="Q22"/>
    </sheetView>
  </sheetViews>
  <sheetFormatPr defaultColWidth="9" defaultRowHeight="14" x14ac:dyDescent="0.25"/>
  <cols>
    <col min="1" max="1" width="2.36328125" style="59" customWidth="1"/>
    <col min="2" max="2" width="9" style="59" customWidth="1"/>
    <col min="3" max="3" width="11.90625" style="59" customWidth="1"/>
    <col min="4" max="6" width="9" style="59" customWidth="1"/>
    <col min="7" max="7" width="13.26953125" style="59" customWidth="1"/>
    <col min="8" max="21" width="9" style="59" customWidth="1"/>
    <col min="22" max="16384" width="9" style="59"/>
  </cols>
  <sheetData>
    <row r="1" spans="2:10" ht="14.5" customHeight="1" thickBot="1" x14ac:dyDescent="0.3"/>
    <row r="2" spans="2:10" ht="14.5" customHeight="1" thickTop="1" x14ac:dyDescent="0.25">
      <c r="B2" s="1"/>
      <c r="C2" s="2"/>
      <c r="D2" s="2"/>
      <c r="E2" s="2"/>
      <c r="F2" s="2"/>
      <c r="G2" s="2"/>
      <c r="H2" s="2"/>
      <c r="I2" s="2"/>
      <c r="J2" s="3"/>
    </row>
    <row r="3" spans="2:10" x14ac:dyDescent="0.25">
      <c r="B3" s="4"/>
      <c r="J3" s="5"/>
    </row>
    <row r="4" spans="2:10" ht="13.5" customHeight="1" x14ac:dyDescent="0.25">
      <c r="B4" s="4"/>
      <c r="C4" s="82" t="s">
        <v>0</v>
      </c>
      <c r="D4" s="83"/>
      <c r="E4" s="83"/>
      <c r="F4" s="83"/>
      <c r="G4" s="83"/>
      <c r="H4" s="83"/>
      <c r="I4" s="83"/>
      <c r="J4" s="5"/>
    </row>
    <row r="5" spans="2:10" ht="13.5" customHeight="1" x14ac:dyDescent="0.25">
      <c r="B5" s="4"/>
      <c r="C5" s="83"/>
      <c r="D5" s="83"/>
      <c r="E5" s="83"/>
      <c r="F5" s="83"/>
      <c r="G5" s="83"/>
      <c r="H5" s="83"/>
      <c r="I5" s="83"/>
      <c r="J5" s="5"/>
    </row>
    <row r="6" spans="2:10" ht="13.5" customHeight="1" x14ac:dyDescent="0.25">
      <c r="B6" s="4"/>
      <c r="C6" s="83"/>
      <c r="D6" s="83"/>
      <c r="E6" s="83"/>
      <c r="F6" s="83"/>
      <c r="G6" s="83"/>
      <c r="H6" s="83"/>
      <c r="I6" s="83"/>
      <c r="J6" s="5"/>
    </row>
    <row r="7" spans="2:10" ht="13.5" customHeight="1" x14ac:dyDescent="0.25">
      <c r="B7" s="4"/>
      <c r="C7" s="83"/>
      <c r="D7" s="83"/>
      <c r="E7" s="83"/>
      <c r="F7" s="83"/>
      <c r="G7" s="83"/>
      <c r="H7" s="83"/>
      <c r="I7" s="83"/>
      <c r="J7" s="5"/>
    </row>
    <row r="8" spans="2:10" ht="13.5" customHeight="1" x14ac:dyDescent="0.25">
      <c r="B8" s="4"/>
      <c r="C8" s="83"/>
      <c r="D8" s="83"/>
      <c r="E8" s="83"/>
      <c r="F8" s="83"/>
      <c r="G8" s="83"/>
      <c r="H8" s="83"/>
      <c r="I8" s="83"/>
      <c r="J8" s="5"/>
    </row>
    <row r="9" spans="2:10" ht="13.5" customHeight="1" x14ac:dyDescent="0.25">
      <c r="B9" s="4"/>
      <c r="C9" s="83"/>
      <c r="D9" s="83"/>
      <c r="E9" s="83"/>
      <c r="F9" s="83"/>
      <c r="G9" s="83"/>
      <c r="H9" s="83"/>
      <c r="I9" s="83"/>
      <c r="J9" s="5"/>
    </row>
    <row r="10" spans="2:10" ht="13.5" customHeight="1" x14ac:dyDescent="0.25">
      <c r="B10" s="4"/>
      <c r="C10" s="83"/>
      <c r="D10" s="83"/>
      <c r="E10" s="83"/>
      <c r="F10" s="83"/>
      <c r="G10" s="83"/>
      <c r="H10" s="83"/>
      <c r="I10" s="83"/>
      <c r="J10" s="5"/>
    </row>
    <row r="11" spans="2:10" ht="13.5" customHeight="1" x14ac:dyDescent="0.25">
      <c r="B11" s="4"/>
      <c r="C11" s="83"/>
      <c r="D11" s="83"/>
      <c r="E11" s="83"/>
      <c r="F11" s="83"/>
      <c r="G11" s="83"/>
      <c r="H11" s="83"/>
      <c r="I11" s="83"/>
      <c r="J11" s="5"/>
    </row>
    <row r="12" spans="2:10" x14ac:dyDescent="0.25">
      <c r="B12" s="4"/>
      <c r="J12" s="5"/>
    </row>
    <row r="13" spans="2:10" x14ac:dyDescent="0.25">
      <c r="B13" s="4"/>
      <c r="J13" s="5"/>
    </row>
    <row r="14" spans="2:10" x14ac:dyDescent="0.25">
      <c r="B14" s="4"/>
      <c r="J14" s="5"/>
    </row>
    <row r="15" spans="2:10" ht="20.5" customHeight="1" x14ac:dyDescent="0.25">
      <c r="B15" s="4"/>
      <c r="C15" s="6" t="s">
        <v>1</v>
      </c>
      <c r="D15" s="84" t="s">
        <v>2</v>
      </c>
      <c r="E15" s="85"/>
      <c r="F15" s="6" t="s">
        <v>3</v>
      </c>
      <c r="G15" s="90">
        <v>44524</v>
      </c>
      <c r="H15" s="85"/>
      <c r="J15" s="5"/>
    </row>
    <row r="16" spans="2:10" ht="17.5" customHeight="1" x14ac:dyDescent="0.25">
      <c r="B16" s="4"/>
      <c r="C16" s="8"/>
      <c r="D16" s="10"/>
      <c r="E16" s="10"/>
      <c r="F16" s="9"/>
      <c r="G16" s="10"/>
      <c r="H16" s="10"/>
      <c r="J16" s="5"/>
    </row>
    <row r="17" spans="2:10" ht="20.5" customHeight="1" x14ac:dyDescent="0.25">
      <c r="B17" s="4"/>
      <c r="C17" s="6" t="s">
        <v>4</v>
      </c>
      <c r="D17" s="84"/>
      <c r="E17" s="85"/>
      <c r="F17" s="6" t="s">
        <v>3</v>
      </c>
      <c r="G17" s="90" t="s">
        <v>5</v>
      </c>
      <c r="H17" s="85"/>
      <c r="J17" s="5"/>
    </row>
    <row r="18" spans="2:10" ht="17.5" customHeight="1" x14ac:dyDescent="0.25">
      <c r="B18" s="4"/>
      <c r="C18" s="8"/>
      <c r="D18" s="10"/>
      <c r="E18" s="10"/>
      <c r="F18" s="9"/>
      <c r="G18" s="10"/>
      <c r="H18" s="10"/>
      <c r="J18" s="5"/>
    </row>
    <row r="19" spans="2:10" ht="20.5" customHeight="1" x14ac:dyDescent="0.25">
      <c r="B19" s="4"/>
      <c r="C19" s="6" t="s">
        <v>6</v>
      </c>
      <c r="D19" s="7"/>
      <c r="E19" s="7"/>
      <c r="F19" s="6" t="s">
        <v>3</v>
      </c>
      <c r="G19" s="7"/>
      <c r="H19" s="7"/>
      <c r="J19" s="5"/>
    </row>
    <row r="20" spans="2:10" x14ac:dyDescent="0.25">
      <c r="B20" s="4"/>
      <c r="J20" s="5"/>
    </row>
    <row r="21" spans="2:10" x14ac:dyDescent="0.25">
      <c r="B21" s="4"/>
      <c r="J21" s="5"/>
    </row>
    <row r="22" spans="2:10" x14ac:dyDescent="0.25">
      <c r="B22" s="4"/>
      <c r="J22" s="5"/>
    </row>
    <row r="23" spans="2:10" ht="24" customHeight="1" x14ac:dyDescent="0.25">
      <c r="B23" s="4"/>
      <c r="E23" s="86" t="s">
        <v>7</v>
      </c>
      <c r="F23" s="83"/>
      <c r="J23" s="5"/>
    </row>
    <row r="24" spans="2:10" x14ac:dyDescent="0.25">
      <c r="B24" s="4"/>
      <c r="J24" s="5"/>
    </row>
    <row r="25" spans="2:10" ht="17.149999999999999" customHeight="1" x14ac:dyDescent="0.25">
      <c r="B25" s="4"/>
      <c r="C25" s="60" t="s">
        <v>3</v>
      </c>
      <c r="D25" s="60" t="s">
        <v>8</v>
      </c>
      <c r="E25" s="87" t="s">
        <v>9</v>
      </c>
      <c r="F25" s="88"/>
      <c r="G25" s="88"/>
      <c r="H25" s="89"/>
      <c r="I25" s="60" t="s">
        <v>10</v>
      </c>
      <c r="J25" s="5"/>
    </row>
    <row r="26" spans="2:10" ht="17.149999999999999" customHeight="1" x14ac:dyDescent="0.25">
      <c r="B26" s="4"/>
      <c r="C26" s="11">
        <v>44524</v>
      </c>
      <c r="D26" s="60" t="s">
        <v>11</v>
      </c>
      <c r="E26" s="79" t="s">
        <v>12</v>
      </c>
      <c r="F26" s="80"/>
      <c r="G26" s="80"/>
      <c r="H26" s="81"/>
      <c r="I26" s="60" t="s">
        <v>2</v>
      </c>
      <c r="J26" s="5"/>
    </row>
    <row r="27" spans="2:10" ht="17.149999999999999" customHeight="1" x14ac:dyDescent="0.25">
      <c r="B27" s="4"/>
      <c r="C27" s="11"/>
      <c r="D27" s="60"/>
      <c r="E27" s="79"/>
      <c r="F27" s="80"/>
      <c r="G27" s="80"/>
      <c r="H27" s="81"/>
      <c r="I27" s="60"/>
      <c r="J27" s="5"/>
    </row>
    <row r="28" spans="2:10" ht="17.149999999999999" customHeight="1" x14ac:dyDescent="0.25">
      <c r="B28" s="4"/>
      <c r="C28" s="60"/>
      <c r="D28" s="60"/>
      <c r="E28" s="79"/>
      <c r="F28" s="80"/>
      <c r="G28" s="80"/>
      <c r="H28" s="81"/>
      <c r="I28" s="60"/>
      <c r="J28" s="5"/>
    </row>
    <row r="29" spans="2:10" ht="17.149999999999999" customHeight="1" x14ac:dyDescent="0.25">
      <c r="B29" s="4"/>
      <c r="C29" s="60"/>
      <c r="D29" s="60"/>
      <c r="E29" s="79"/>
      <c r="F29" s="80"/>
      <c r="G29" s="80"/>
      <c r="H29" s="81"/>
      <c r="I29" s="60"/>
      <c r="J29" s="5"/>
    </row>
    <row r="30" spans="2:10" ht="17.149999999999999" customHeight="1" x14ac:dyDescent="0.25">
      <c r="B30" s="4"/>
      <c r="C30" s="60"/>
      <c r="D30" s="60"/>
      <c r="E30" s="79"/>
      <c r="F30" s="80"/>
      <c r="G30" s="80"/>
      <c r="H30" s="81"/>
      <c r="I30" s="60"/>
      <c r="J30" s="5"/>
    </row>
    <row r="31" spans="2:10" ht="17.149999999999999" customHeight="1" x14ac:dyDescent="0.25">
      <c r="B31" s="4"/>
      <c r="C31" s="60"/>
      <c r="D31" s="60"/>
      <c r="E31" s="79"/>
      <c r="F31" s="80"/>
      <c r="G31" s="80"/>
      <c r="H31" s="81"/>
      <c r="I31" s="60"/>
      <c r="J31" s="5"/>
    </row>
    <row r="32" spans="2:10" x14ac:dyDescent="0.25">
      <c r="B32" s="4"/>
      <c r="J32" s="5"/>
    </row>
    <row r="33" spans="2:10" x14ac:dyDescent="0.25">
      <c r="B33" s="4"/>
      <c r="J33" s="5"/>
    </row>
    <row r="34" spans="2:10" ht="14.5" customHeight="1" thickBot="1" x14ac:dyDescent="0.3">
      <c r="B34" s="12"/>
      <c r="C34" s="13"/>
      <c r="D34" s="13"/>
      <c r="E34" s="13"/>
      <c r="F34" s="13"/>
      <c r="G34" s="13"/>
      <c r="H34" s="13"/>
      <c r="I34" s="13"/>
      <c r="J34" s="14"/>
    </row>
    <row r="35" spans="2:10" ht="14.5" customHeight="1" thickTop="1" x14ac:dyDescent="0.25"/>
  </sheetData>
  <mergeCells count="13">
    <mergeCell ref="E29:H29"/>
    <mergeCell ref="E30:H30"/>
    <mergeCell ref="E31:H31"/>
    <mergeCell ref="C4:I11"/>
    <mergeCell ref="D15:E15"/>
    <mergeCell ref="D17:E17"/>
    <mergeCell ref="E27:H27"/>
    <mergeCell ref="E28:H28"/>
    <mergeCell ref="E23:F23"/>
    <mergeCell ref="E25:H25"/>
    <mergeCell ref="E26:H26"/>
    <mergeCell ref="G15:H15"/>
    <mergeCell ref="G17:H1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N44"/>
  <sheetViews>
    <sheetView zoomScale="115" zoomScaleNormal="115" workbookViewId="0">
      <selection activeCell="F1" sqref="F1:F1048576"/>
    </sheetView>
  </sheetViews>
  <sheetFormatPr defaultColWidth="9" defaultRowHeight="14" x14ac:dyDescent="0.25"/>
  <cols>
    <col min="1" max="1" width="10" style="61" customWidth="1"/>
    <col min="2" max="2" width="22.36328125" style="61" customWidth="1"/>
    <col min="3" max="3" width="40" style="61" customWidth="1"/>
    <col min="4" max="4" width="19.7265625" style="61" customWidth="1"/>
    <col min="5" max="5" width="10.453125" style="61" bestFit="1" customWidth="1"/>
    <col min="6" max="6" width="16.36328125" style="32" customWidth="1"/>
    <col min="7" max="7" width="53.90625" style="61" customWidth="1"/>
    <col min="8" max="9" width="9" style="61" customWidth="1"/>
    <col min="10" max="10" width="11.6328125" style="61" bestFit="1" customWidth="1"/>
    <col min="11" max="24" width="9" style="61" customWidth="1"/>
    <col min="25" max="16384" width="9" style="61"/>
  </cols>
  <sheetData>
    <row r="1" spans="1:14" ht="27.75" customHeight="1" x14ac:dyDescent="0.25">
      <c r="A1" s="22" t="s">
        <v>13</v>
      </c>
      <c r="B1" s="22" t="s">
        <v>14</v>
      </c>
      <c r="C1" s="22" t="s">
        <v>15</v>
      </c>
      <c r="D1" s="22" t="s">
        <v>16</v>
      </c>
      <c r="E1" s="22" t="s">
        <v>17</v>
      </c>
      <c r="F1" s="22" t="s">
        <v>18</v>
      </c>
      <c r="G1" s="22" t="s">
        <v>19</v>
      </c>
    </row>
    <row r="2" spans="1:14" x14ac:dyDescent="0.25">
      <c r="A2" s="51" t="s">
        <v>20</v>
      </c>
      <c r="B2" s="51"/>
      <c r="C2" s="51"/>
      <c r="D2" s="51"/>
      <c r="E2" s="51"/>
      <c r="F2" s="49"/>
      <c r="G2" s="50"/>
    </row>
    <row r="3" spans="1:14" x14ac:dyDescent="0.25">
      <c r="A3" s="51"/>
      <c r="B3" s="51" t="s">
        <v>21</v>
      </c>
      <c r="C3" s="51"/>
      <c r="D3" s="51"/>
      <c r="E3" s="51"/>
      <c r="F3" s="49"/>
      <c r="G3" s="50"/>
    </row>
    <row r="4" spans="1:14" x14ac:dyDescent="0.25">
      <c r="A4" s="51"/>
      <c r="B4" s="51"/>
      <c r="C4" s="51" t="s">
        <v>22</v>
      </c>
      <c r="D4" s="51" t="s">
        <v>23</v>
      </c>
      <c r="E4" s="51"/>
      <c r="F4" s="49">
        <v>3</v>
      </c>
      <c r="G4" s="50" t="s">
        <v>24</v>
      </c>
    </row>
    <row r="5" spans="1:14" x14ac:dyDescent="0.25">
      <c r="A5" s="51"/>
      <c r="B5" s="51"/>
      <c r="C5" s="51" t="s">
        <v>25</v>
      </c>
      <c r="D5" s="51" t="s">
        <v>26</v>
      </c>
      <c r="E5" s="51"/>
      <c r="F5" s="49">
        <v>1</v>
      </c>
      <c r="G5" s="50" t="s">
        <v>27</v>
      </c>
    </row>
    <row r="6" spans="1:14" x14ac:dyDescent="0.25">
      <c r="A6" s="51"/>
      <c r="B6" s="51"/>
      <c r="C6" s="51" t="s">
        <v>28</v>
      </c>
      <c r="D6" s="51" t="s">
        <v>26</v>
      </c>
      <c r="E6" s="51"/>
      <c r="F6" s="49">
        <v>1</v>
      </c>
      <c r="G6" s="50" t="s">
        <v>29</v>
      </c>
    </row>
    <row r="7" spans="1:14" x14ac:dyDescent="0.25">
      <c r="A7" s="51"/>
      <c r="B7" s="51"/>
      <c r="C7" s="51" t="s">
        <v>30</v>
      </c>
      <c r="D7" s="51" t="s">
        <v>26</v>
      </c>
      <c r="E7" s="51"/>
      <c r="F7" s="49">
        <v>1</v>
      </c>
      <c r="G7" s="50" t="s">
        <v>31</v>
      </c>
    </row>
    <row r="8" spans="1:14" x14ac:dyDescent="0.25">
      <c r="A8" s="51"/>
      <c r="B8" s="51"/>
      <c r="C8" s="51" t="s">
        <v>32</v>
      </c>
      <c r="D8" s="51" t="s">
        <v>26</v>
      </c>
      <c r="E8" s="51"/>
      <c r="F8" s="49">
        <v>1</v>
      </c>
      <c r="G8" s="50" t="s">
        <v>33</v>
      </c>
    </row>
    <row r="9" spans="1:14" x14ac:dyDescent="0.25">
      <c r="A9" s="51"/>
      <c r="B9" s="51"/>
      <c r="C9" s="51" t="s">
        <v>34</v>
      </c>
      <c r="D9" s="51" t="s">
        <v>26</v>
      </c>
      <c r="E9" s="51"/>
      <c r="F9" s="49">
        <v>1</v>
      </c>
      <c r="G9" s="50" t="s">
        <v>35</v>
      </c>
    </row>
    <row r="10" spans="1:14" x14ac:dyDescent="0.25">
      <c r="A10" s="51"/>
      <c r="B10" s="51"/>
      <c r="C10" s="51" t="s">
        <v>36</v>
      </c>
      <c r="D10" s="51" t="s">
        <v>26</v>
      </c>
      <c r="E10" s="51"/>
      <c r="F10" s="49">
        <v>1</v>
      </c>
      <c r="G10" s="50" t="s">
        <v>37</v>
      </c>
    </row>
    <row r="11" spans="1:14" x14ac:dyDescent="0.25">
      <c r="A11" s="51"/>
      <c r="B11" s="51" t="s">
        <v>38</v>
      </c>
      <c r="C11" s="51"/>
      <c r="D11" s="51"/>
      <c r="E11" s="51"/>
      <c r="F11" s="49"/>
      <c r="G11" s="50"/>
    </row>
    <row r="12" spans="1:14" x14ac:dyDescent="0.25">
      <c r="A12" s="51"/>
      <c r="B12" s="51"/>
      <c r="C12" s="51" t="s">
        <v>39</v>
      </c>
      <c r="D12" s="51" t="s">
        <v>40</v>
      </c>
      <c r="E12" s="51"/>
      <c r="F12" s="49">
        <v>4</v>
      </c>
      <c r="G12" s="50" t="s">
        <v>41</v>
      </c>
    </row>
    <row r="13" spans="1:14" x14ac:dyDescent="0.25">
      <c r="A13" s="51"/>
      <c r="B13" s="51"/>
      <c r="C13" s="51" t="s">
        <v>42</v>
      </c>
      <c r="D13" s="51" t="s">
        <v>26</v>
      </c>
      <c r="E13" s="51"/>
      <c r="F13" s="49">
        <v>3</v>
      </c>
      <c r="G13" s="50" t="s">
        <v>43</v>
      </c>
    </row>
    <row r="14" spans="1:14" x14ac:dyDescent="0.25">
      <c r="A14" s="51"/>
      <c r="B14" s="51"/>
      <c r="C14" s="51" t="s">
        <v>44</v>
      </c>
      <c r="D14" s="51" t="s">
        <v>26</v>
      </c>
      <c r="E14" s="51"/>
      <c r="F14" s="49">
        <v>3</v>
      </c>
      <c r="G14" s="50" t="s">
        <v>45</v>
      </c>
    </row>
    <row r="15" spans="1:14" x14ac:dyDescent="0.25">
      <c r="A15" s="51"/>
      <c r="B15" s="51"/>
      <c r="C15" s="51" t="s">
        <v>46</v>
      </c>
      <c r="D15" s="51" t="s">
        <v>26</v>
      </c>
      <c r="E15" s="51"/>
      <c r="F15" s="49">
        <v>3</v>
      </c>
      <c r="G15" s="50" t="s">
        <v>47</v>
      </c>
    </row>
    <row r="16" spans="1:14" x14ac:dyDescent="0.25">
      <c r="A16" s="51"/>
      <c r="B16" s="51"/>
      <c r="C16" s="51" t="s">
        <v>48</v>
      </c>
      <c r="D16" s="51" t="s">
        <v>26</v>
      </c>
      <c r="E16" s="51"/>
      <c r="F16" s="49">
        <v>3</v>
      </c>
      <c r="G16" s="50" t="s">
        <v>49</v>
      </c>
      <c r="M16" s="52"/>
      <c r="N16" s="53"/>
    </row>
    <row r="17" spans="1:14" x14ac:dyDescent="0.25">
      <c r="A17" s="51"/>
      <c r="B17" s="51"/>
      <c r="C17" s="51" t="s">
        <v>50</v>
      </c>
      <c r="D17" s="51" t="s">
        <v>26</v>
      </c>
      <c r="E17" s="51"/>
      <c r="F17" s="49">
        <v>1</v>
      </c>
      <c r="G17" s="50" t="s">
        <v>51</v>
      </c>
      <c r="M17" s="53"/>
      <c r="N17" s="53"/>
    </row>
    <row r="18" spans="1:14" x14ac:dyDescent="0.25">
      <c r="A18" s="51"/>
      <c r="B18" s="51"/>
      <c r="C18" s="51" t="s">
        <v>52</v>
      </c>
      <c r="D18" s="51" t="s">
        <v>26</v>
      </c>
      <c r="E18" s="51"/>
      <c r="F18" s="49">
        <v>2</v>
      </c>
      <c r="G18" s="50" t="s">
        <v>53</v>
      </c>
      <c r="M18" s="53"/>
      <c r="N18" s="53"/>
    </row>
    <row r="19" spans="1:14" x14ac:dyDescent="0.25">
      <c r="A19" s="51"/>
      <c r="B19" s="51"/>
      <c r="C19" s="51" t="s">
        <v>54</v>
      </c>
      <c r="D19" s="51" t="s">
        <v>26</v>
      </c>
      <c r="E19" s="51"/>
      <c r="F19" s="49">
        <v>2</v>
      </c>
      <c r="G19" s="50" t="s">
        <v>55</v>
      </c>
      <c r="M19" s="53"/>
      <c r="N19" s="53"/>
    </row>
    <row r="20" spans="1:14" x14ac:dyDescent="0.25">
      <c r="A20" s="51"/>
      <c r="B20" s="51"/>
      <c r="C20" s="51" t="s">
        <v>56</v>
      </c>
      <c r="D20" s="51" t="s">
        <v>26</v>
      </c>
      <c r="E20" s="51"/>
      <c r="F20" s="49">
        <v>3</v>
      </c>
      <c r="G20" s="50" t="s">
        <v>57</v>
      </c>
    </row>
    <row r="21" spans="1:14" x14ac:dyDescent="0.25">
      <c r="A21" s="51"/>
      <c r="B21" s="51"/>
      <c r="C21" s="51" t="s">
        <v>58</v>
      </c>
      <c r="D21" s="51" t="s">
        <v>26</v>
      </c>
      <c r="E21" s="51"/>
      <c r="F21" s="49">
        <v>1</v>
      </c>
      <c r="G21" s="50" t="s">
        <v>59</v>
      </c>
    </row>
    <row r="22" spans="1:14" x14ac:dyDescent="0.25">
      <c r="A22" s="51"/>
      <c r="B22" s="51"/>
      <c r="C22" s="51" t="s">
        <v>60</v>
      </c>
      <c r="D22" s="51" t="s">
        <v>26</v>
      </c>
      <c r="E22" s="51"/>
      <c r="F22" s="49">
        <v>2</v>
      </c>
      <c r="G22" s="50" t="s">
        <v>61</v>
      </c>
    </row>
    <row r="23" spans="1:14" x14ac:dyDescent="0.25">
      <c r="A23" s="51"/>
      <c r="B23" s="51"/>
      <c r="C23" s="51" t="s">
        <v>62</v>
      </c>
      <c r="D23" s="51" t="s">
        <v>26</v>
      </c>
      <c r="E23" s="51"/>
      <c r="F23" s="49">
        <v>1</v>
      </c>
      <c r="G23" s="50" t="s">
        <v>63</v>
      </c>
    </row>
    <row r="24" spans="1:14" x14ac:dyDescent="0.25">
      <c r="A24" s="51"/>
      <c r="B24" s="51"/>
      <c r="C24" s="51" t="s">
        <v>64</v>
      </c>
      <c r="D24" s="51" t="s">
        <v>26</v>
      </c>
      <c r="E24" s="51"/>
      <c r="F24" s="49">
        <v>1</v>
      </c>
      <c r="G24" s="50" t="s">
        <v>65</v>
      </c>
    </row>
    <row r="25" spans="1:14" x14ac:dyDescent="0.25">
      <c r="A25" s="51"/>
      <c r="B25" s="51"/>
      <c r="C25" s="51" t="s">
        <v>66</v>
      </c>
      <c r="D25" s="51" t="s">
        <v>26</v>
      </c>
      <c r="E25" s="51"/>
      <c r="F25" s="49">
        <v>1</v>
      </c>
      <c r="G25" s="50" t="s">
        <v>67</v>
      </c>
    </row>
    <row r="26" spans="1:14" x14ac:dyDescent="0.25">
      <c r="A26" s="51"/>
      <c r="B26" s="51"/>
      <c r="C26" s="51" t="s">
        <v>68</v>
      </c>
      <c r="D26" s="51" t="s">
        <v>26</v>
      </c>
      <c r="E26" s="51"/>
      <c r="F26" s="49">
        <v>2</v>
      </c>
      <c r="G26" s="50" t="s">
        <v>69</v>
      </c>
    </row>
    <row r="27" spans="1:14" x14ac:dyDescent="0.25">
      <c r="A27" s="51"/>
      <c r="B27" s="51"/>
      <c r="C27" s="51" t="s">
        <v>70</v>
      </c>
      <c r="D27" s="51" t="s">
        <v>26</v>
      </c>
      <c r="E27" s="51"/>
      <c r="F27" s="49">
        <v>1</v>
      </c>
      <c r="G27" s="50" t="s">
        <v>71</v>
      </c>
    </row>
    <row r="28" spans="1:14" x14ac:dyDescent="0.25">
      <c r="A28" s="51"/>
      <c r="B28" s="51"/>
      <c r="C28" s="51" t="s">
        <v>72</v>
      </c>
      <c r="D28" s="51" t="s">
        <v>26</v>
      </c>
      <c r="E28" s="51"/>
      <c r="F28" s="49">
        <v>1</v>
      </c>
      <c r="G28" s="50" t="s">
        <v>73</v>
      </c>
    </row>
    <row r="29" spans="1:14" x14ac:dyDescent="0.25">
      <c r="A29" s="51"/>
      <c r="B29" s="51"/>
      <c r="C29" s="51" t="s">
        <v>74</v>
      </c>
      <c r="D29" s="51" t="s">
        <v>26</v>
      </c>
      <c r="E29" s="51"/>
      <c r="F29" s="49">
        <v>1</v>
      </c>
      <c r="G29" s="50" t="s">
        <v>75</v>
      </c>
    </row>
    <row r="30" spans="1:14" x14ac:dyDescent="0.25">
      <c r="A30" s="51"/>
      <c r="B30" s="51"/>
      <c r="C30" s="51" t="s">
        <v>76</v>
      </c>
      <c r="D30" s="51" t="s">
        <v>26</v>
      </c>
      <c r="E30" s="51"/>
      <c r="F30" s="49">
        <v>1</v>
      </c>
      <c r="G30" s="50" t="s">
        <v>77</v>
      </c>
    </row>
    <row r="31" spans="1:14" x14ac:dyDescent="0.25">
      <c r="A31" s="51"/>
      <c r="B31" s="51"/>
      <c r="C31" s="51" t="s">
        <v>78</v>
      </c>
      <c r="D31" s="51" t="s">
        <v>26</v>
      </c>
      <c r="E31" s="51"/>
      <c r="F31" s="49">
        <v>1</v>
      </c>
      <c r="G31" s="50" t="s">
        <v>79</v>
      </c>
    </row>
    <row r="32" spans="1:14" x14ac:dyDescent="0.25">
      <c r="A32" s="51"/>
      <c r="B32" s="51"/>
      <c r="C32" s="51" t="s">
        <v>80</v>
      </c>
      <c r="D32" s="51" t="s">
        <v>26</v>
      </c>
      <c r="E32" s="51"/>
      <c r="F32" s="49">
        <v>1</v>
      </c>
      <c r="G32" s="50" t="s">
        <v>81</v>
      </c>
    </row>
    <row r="33" spans="1:7" x14ac:dyDescent="0.25">
      <c r="A33" s="51" t="s">
        <v>82</v>
      </c>
      <c r="B33" s="51"/>
      <c r="C33" s="51"/>
      <c r="D33" s="51"/>
      <c r="E33" s="51"/>
      <c r="F33" s="49"/>
      <c r="G33" s="50"/>
    </row>
    <row r="34" spans="1:7" x14ac:dyDescent="0.25">
      <c r="A34" s="51"/>
      <c r="B34" s="51" t="s">
        <v>83</v>
      </c>
      <c r="C34" s="51"/>
      <c r="D34" s="51"/>
      <c r="E34" s="51"/>
      <c r="F34" s="49"/>
      <c r="G34" s="50"/>
    </row>
    <row r="35" spans="1:7" x14ac:dyDescent="0.25">
      <c r="A35" s="51"/>
      <c r="B35" s="51"/>
      <c r="C35" s="51" t="s">
        <v>84</v>
      </c>
      <c r="D35" s="51" t="s">
        <v>23</v>
      </c>
      <c r="E35" s="51"/>
      <c r="F35" s="49">
        <v>4</v>
      </c>
      <c r="G35" s="50" t="s">
        <v>85</v>
      </c>
    </row>
    <row r="36" spans="1:7" x14ac:dyDescent="0.25">
      <c r="A36" s="51"/>
      <c r="B36" s="51"/>
      <c r="C36" s="51" t="s">
        <v>86</v>
      </c>
      <c r="D36" s="51" t="s">
        <v>26</v>
      </c>
      <c r="E36" s="51"/>
      <c r="F36" s="49">
        <v>1</v>
      </c>
      <c r="G36" s="50" t="s">
        <v>87</v>
      </c>
    </row>
    <row r="37" spans="1:7" x14ac:dyDescent="0.25">
      <c r="A37" s="51"/>
      <c r="B37" s="51"/>
      <c r="C37" s="51" t="s">
        <v>88</v>
      </c>
      <c r="D37" s="51" t="s">
        <v>26</v>
      </c>
      <c r="E37" s="51"/>
      <c r="F37" s="49">
        <v>1</v>
      </c>
      <c r="G37" s="50" t="s">
        <v>89</v>
      </c>
    </row>
    <row r="38" spans="1:7" x14ac:dyDescent="0.25">
      <c r="A38" s="51"/>
      <c r="B38" s="51"/>
      <c r="C38" s="51" t="s">
        <v>90</v>
      </c>
      <c r="D38" s="51" t="s">
        <v>26</v>
      </c>
      <c r="E38" s="51"/>
      <c r="F38" s="49">
        <v>1</v>
      </c>
      <c r="G38" s="50" t="s">
        <v>91</v>
      </c>
    </row>
    <row r="39" spans="1:7" x14ac:dyDescent="0.25">
      <c r="A39" s="51"/>
      <c r="B39" s="51"/>
      <c r="C39" s="51" t="s">
        <v>92</v>
      </c>
      <c r="D39" s="51" t="s">
        <v>26</v>
      </c>
      <c r="E39" s="51"/>
      <c r="F39" s="49">
        <v>1</v>
      </c>
      <c r="G39" s="50" t="s">
        <v>93</v>
      </c>
    </row>
    <row r="40" spans="1:7" x14ac:dyDescent="0.25">
      <c r="A40" s="51"/>
      <c r="B40" s="51"/>
      <c r="C40" s="51" t="s">
        <v>94</v>
      </c>
      <c r="D40" s="51" t="s">
        <v>26</v>
      </c>
      <c r="E40" s="51"/>
      <c r="F40" s="49">
        <v>1</v>
      </c>
      <c r="G40" s="51" t="s">
        <v>94</v>
      </c>
    </row>
    <row r="41" spans="1:7" x14ac:dyDescent="0.25">
      <c r="A41" s="51"/>
      <c r="B41" s="51" t="s">
        <v>95</v>
      </c>
      <c r="C41" s="51"/>
      <c r="D41" s="51"/>
      <c r="E41" s="51"/>
      <c r="F41" s="49"/>
      <c r="G41" s="50"/>
    </row>
    <row r="42" spans="1:7" x14ac:dyDescent="0.25">
      <c r="A42" s="51"/>
      <c r="B42" s="51"/>
      <c r="C42" s="51" t="s">
        <v>96</v>
      </c>
      <c r="D42" s="51" t="s">
        <v>26</v>
      </c>
      <c r="E42" s="51"/>
      <c r="F42" s="49">
        <v>2</v>
      </c>
      <c r="G42" s="50" t="s">
        <v>97</v>
      </c>
    </row>
    <row r="43" spans="1:7" x14ac:dyDescent="0.25">
      <c r="A43" s="51"/>
      <c r="B43" s="51"/>
      <c r="C43" s="51" t="s">
        <v>98</v>
      </c>
      <c r="D43" s="51" t="s">
        <v>26</v>
      </c>
      <c r="E43" s="51"/>
      <c r="F43" s="49">
        <v>1</v>
      </c>
      <c r="G43" s="50" t="s">
        <v>99</v>
      </c>
    </row>
    <row r="44" spans="1:7" x14ac:dyDescent="0.25">
      <c r="A44" s="51"/>
      <c r="B44" s="51"/>
      <c r="C44" s="51" t="s">
        <v>100</v>
      </c>
      <c r="D44" s="51" t="s">
        <v>26</v>
      </c>
      <c r="E44" s="51"/>
      <c r="F44" s="49">
        <v>1</v>
      </c>
      <c r="G44" s="50" t="s">
        <v>101</v>
      </c>
    </row>
  </sheetData>
  <phoneticPr fontId="1" type="noConversion"/>
  <dataValidations count="1">
    <dataValidation type="list" allowBlank="1" showInputMessage="1" showErrorMessage="1" sqref="D42:D44 D4:D10 D35:D40 D12:D32">
      <formula1>"流程图,状态机,等价类划分&amp;数据组合,直接分析"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N17"/>
  <sheetViews>
    <sheetView zoomScaleNormal="100" workbookViewId="0">
      <selection activeCell="B2" sqref="B2:N17"/>
    </sheetView>
  </sheetViews>
  <sheetFormatPr defaultColWidth="8.7265625" defaultRowHeight="14" x14ac:dyDescent="0.25"/>
  <cols>
    <col min="1" max="5" width="8.7265625" style="61" customWidth="1"/>
    <col min="6" max="16384" width="8.7265625" style="61"/>
  </cols>
  <sheetData>
    <row r="1" spans="1:14" x14ac:dyDescent="0.25">
      <c r="A1" s="47" t="s">
        <v>102</v>
      </c>
      <c r="B1" s="91" t="s">
        <v>103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92"/>
    </row>
    <row r="2" spans="1:14" x14ac:dyDescent="0.25">
      <c r="A2" s="93" t="s">
        <v>104</v>
      </c>
      <c r="B2" s="96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8"/>
    </row>
    <row r="3" spans="1:14" x14ac:dyDescent="0.25">
      <c r="A3" s="94"/>
      <c r="B3" s="99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1"/>
    </row>
    <row r="4" spans="1:14" x14ac:dyDescent="0.25">
      <c r="A4" s="94"/>
      <c r="B4" s="99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1"/>
    </row>
    <row r="5" spans="1:14" x14ac:dyDescent="0.25">
      <c r="A5" s="94"/>
      <c r="B5" s="99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1"/>
    </row>
    <row r="6" spans="1:14" x14ac:dyDescent="0.25">
      <c r="A6" s="94"/>
      <c r="B6" s="99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1"/>
    </row>
    <row r="7" spans="1:14" x14ac:dyDescent="0.25">
      <c r="A7" s="94"/>
      <c r="B7" s="99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1"/>
    </row>
    <row r="8" spans="1:14" x14ac:dyDescent="0.25">
      <c r="A8" s="94"/>
      <c r="B8" s="99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1"/>
    </row>
    <row r="9" spans="1:14" x14ac:dyDescent="0.25">
      <c r="A9" s="94"/>
      <c r="B9" s="99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1"/>
    </row>
    <row r="10" spans="1:14" x14ac:dyDescent="0.25">
      <c r="A10" s="94"/>
      <c r="B10" s="99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1"/>
    </row>
    <row r="11" spans="1:14" x14ac:dyDescent="0.25">
      <c r="A11" s="94"/>
      <c r="B11" s="99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1"/>
    </row>
    <row r="12" spans="1:14" x14ac:dyDescent="0.25">
      <c r="A12" s="94"/>
      <c r="B12" s="99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1"/>
    </row>
    <row r="13" spans="1:14" x14ac:dyDescent="0.25">
      <c r="A13" s="94"/>
      <c r="B13" s="99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1"/>
    </row>
    <row r="14" spans="1:14" x14ac:dyDescent="0.25">
      <c r="A14" s="94"/>
      <c r="B14" s="99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1"/>
    </row>
    <row r="15" spans="1:14" x14ac:dyDescent="0.25">
      <c r="A15" s="94"/>
      <c r="B15" s="99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1"/>
    </row>
    <row r="16" spans="1:14" x14ac:dyDescent="0.25">
      <c r="A16" s="94"/>
      <c r="B16" s="99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1"/>
    </row>
    <row r="17" spans="1:14" x14ac:dyDescent="0.25">
      <c r="A17" s="95"/>
      <c r="B17" s="102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103"/>
    </row>
  </sheetData>
  <mergeCells count="3">
    <mergeCell ref="B1:N1"/>
    <mergeCell ref="A2:A17"/>
    <mergeCell ref="B2:N17"/>
  </mergeCells>
  <phoneticPr fontId="1" type="noConversion"/>
  <pageMargins left="0.7" right="0.7" top="0.75" bottom="0.75" header="0.3" footer="0.3"/>
  <pageSetup paperSize="9" orientation="portrait" horizontalDpi="1200" verticalDpi="1200"/>
  <drawing r:id="rId1"/>
  <legacyDrawing r:id="rId2"/>
  <oleObjects>
    <mc:AlternateContent xmlns:mc="http://schemas.openxmlformats.org/markup-compatibility/2006">
      <mc:Choice Requires="x14">
        <oleObject progId="Visio.Drawing.15" shapeId="7169" r:id="rId3">
          <objectPr defaultSize="0" autoPict="0" r:id="rId4">
            <anchor moveWithCells="1">
              <from>
                <xdr:col>1</xdr:col>
                <xdr:colOff>603250</xdr:colOff>
                <xdr:row>1</xdr:row>
                <xdr:rowOff>31750</xdr:rowOff>
              </from>
              <to>
                <xdr:col>10</xdr:col>
                <xdr:colOff>412750</xdr:colOff>
                <xdr:row>15</xdr:row>
                <xdr:rowOff>31750</xdr:rowOff>
              </to>
            </anchor>
          </objectPr>
        </oleObject>
      </mc:Choice>
      <mc:Fallback>
        <oleObject progId="Visio.Drawing.15" shapeId="7169" r:id="rId3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H70"/>
  <sheetViews>
    <sheetView topLeftCell="A2" zoomScale="115" zoomScaleNormal="115" workbookViewId="0">
      <selection activeCell="B11" activeCellId="1" sqref="B11:G11 B11:G11"/>
    </sheetView>
  </sheetViews>
  <sheetFormatPr defaultColWidth="9" defaultRowHeight="14" x14ac:dyDescent="0.25"/>
  <cols>
    <col min="1" max="1" width="15" style="61" customWidth="1"/>
    <col min="2" max="2" width="25.453125" style="61" customWidth="1"/>
    <col min="3" max="3" width="29.6328125" style="61" customWidth="1"/>
    <col min="4" max="4" width="26.26953125" style="61" customWidth="1"/>
    <col min="5" max="5" width="33.36328125" style="61" customWidth="1"/>
    <col min="6" max="6" width="49.36328125" style="61" customWidth="1"/>
    <col min="7" max="7" width="29.7265625" style="61" customWidth="1"/>
    <col min="8" max="21" width="9" style="61" customWidth="1"/>
    <col min="22" max="16384" width="9" style="61"/>
  </cols>
  <sheetData>
    <row r="1" spans="1:8" x14ac:dyDescent="0.25">
      <c r="A1" s="118" t="s">
        <v>105</v>
      </c>
      <c r="B1" s="65" t="s">
        <v>15</v>
      </c>
      <c r="C1" s="65" t="s">
        <v>16</v>
      </c>
      <c r="D1" s="65" t="s">
        <v>17</v>
      </c>
      <c r="E1" s="65" t="s">
        <v>18</v>
      </c>
      <c r="F1" s="119" t="s">
        <v>19</v>
      </c>
      <c r="G1" s="81"/>
    </row>
    <row r="2" spans="1:8" x14ac:dyDescent="0.25">
      <c r="A2" s="111"/>
      <c r="B2" s="51" t="s">
        <v>22</v>
      </c>
      <c r="C2" s="51" t="s">
        <v>23</v>
      </c>
      <c r="D2" s="51"/>
      <c r="E2" s="49">
        <v>3</v>
      </c>
      <c r="F2" s="120" t="s">
        <v>106</v>
      </c>
      <c r="G2" s="92"/>
    </row>
    <row r="3" spans="1:8" x14ac:dyDescent="0.25">
      <c r="A3" s="111"/>
      <c r="B3" s="51" t="s">
        <v>25</v>
      </c>
      <c r="C3" s="51" t="s">
        <v>26</v>
      </c>
      <c r="D3" s="51"/>
      <c r="E3" s="49">
        <v>1</v>
      </c>
      <c r="F3" s="120" t="s">
        <v>27</v>
      </c>
      <c r="G3" s="92"/>
    </row>
    <row r="4" spans="1:8" x14ac:dyDescent="0.25">
      <c r="A4" s="111"/>
      <c r="B4" s="51" t="s">
        <v>28</v>
      </c>
      <c r="C4" s="51" t="s">
        <v>26</v>
      </c>
      <c r="D4" s="51"/>
      <c r="E4" s="49">
        <v>1</v>
      </c>
      <c r="F4" s="120" t="s">
        <v>29</v>
      </c>
      <c r="G4" s="92"/>
    </row>
    <row r="5" spans="1:8" x14ac:dyDescent="0.25">
      <c r="A5" s="111"/>
      <c r="B5" s="51" t="s">
        <v>30</v>
      </c>
      <c r="C5" s="51" t="s">
        <v>26</v>
      </c>
      <c r="D5" s="51"/>
      <c r="E5" s="49">
        <v>1</v>
      </c>
      <c r="F5" s="120" t="s">
        <v>31</v>
      </c>
      <c r="G5" s="92"/>
    </row>
    <row r="6" spans="1:8" x14ac:dyDescent="0.25">
      <c r="A6" s="111"/>
      <c r="B6" s="51" t="s">
        <v>32</v>
      </c>
      <c r="C6" s="51" t="s">
        <v>26</v>
      </c>
      <c r="D6" s="51"/>
      <c r="E6" s="49">
        <v>1</v>
      </c>
      <c r="F6" s="120" t="s">
        <v>33</v>
      </c>
      <c r="G6" s="92"/>
    </row>
    <row r="7" spans="1:8" x14ac:dyDescent="0.25">
      <c r="A7" s="111"/>
      <c r="B7" s="51" t="s">
        <v>34</v>
      </c>
      <c r="C7" s="51" t="s">
        <v>26</v>
      </c>
      <c r="D7" s="51"/>
      <c r="E7" s="49">
        <v>1</v>
      </c>
      <c r="F7" s="120" t="s">
        <v>35</v>
      </c>
      <c r="G7" s="92"/>
    </row>
    <row r="8" spans="1:8" x14ac:dyDescent="0.25">
      <c r="A8" s="112"/>
      <c r="B8" s="51" t="s">
        <v>36</v>
      </c>
      <c r="C8" s="51" t="s">
        <v>26</v>
      </c>
      <c r="D8" s="51"/>
      <c r="E8" s="49">
        <v>1</v>
      </c>
      <c r="F8" s="120" t="s">
        <v>37</v>
      </c>
      <c r="G8" s="92"/>
    </row>
    <row r="9" spans="1:8" x14ac:dyDescent="0.25">
      <c r="A9" s="124" t="s">
        <v>22</v>
      </c>
      <c r="B9" s="114" t="s">
        <v>107</v>
      </c>
      <c r="C9" s="115"/>
      <c r="D9" s="115"/>
      <c r="E9" s="115"/>
      <c r="F9" s="115"/>
      <c r="G9" s="116"/>
    </row>
    <row r="10" spans="1:8" x14ac:dyDescent="0.25">
      <c r="A10" s="94"/>
      <c r="B10" s="122" t="s">
        <v>108</v>
      </c>
      <c r="C10" s="115"/>
      <c r="D10" s="115"/>
      <c r="E10" s="115"/>
      <c r="F10" s="115"/>
      <c r="G10" s="116"/>
    </row>
    <row r="11" spans="1:8" ht="409.5" customHeight="1" x14ac:dyDescent="0.25">
      <c r="A11" s="94"/>
      <c r="B11" s="125"/>
      <c r="C11" s="115"/>
      <c r="D11" s="115"/>
      <c r="E11" s="115"/>
      <c r="F11" s="115"/>
      <c r="G11" s="116"/>
      <c r="H11" s="48"/>
    </row>
    <row r="12" spans="1:8" x14ac:dyDescent="0.25">
      <c r="A12" s="94"/>
      <c r="B12" s="122" t="s">
        <v>109</v>
      </c>
      <c r="C12" s="115"/>
      <c r="D12" s="115"/>
      <c r="E12" s="115"/>
      <c r="F12" s="115"/>
      <c r="G12" s="116"/>
    </row>
    <row r="13" spans="1:8" x14ac:dyDescent="0.25">
      <c r="A13" s="94"/>
      <c r="B13" s="62" t="s">
        <v>110</v>
      </c>
      <c r="C13" s="126" t="s">
        <v>111</v>
      </c>
      <c r="D13" s="116"/>
      <c r="E13" s="126" t="s">
        <v>112</v>
      </c>
      <c r="F13" s="115"/>
      <c r="G13" s="116"/>
    </row>
    <row r="14" spans="1:8" x14ac:dyDescent="0.25">
      <c r="A14" s="94"/>
      <c r="B14" s="64" t="s">
        <v>113</v>
      </c>
      <c r="C14" s="113" t="s">
        <v>114</v>
      </c>
      <c r="D14" s="116"/>
      <c r="E14" s="117" t="s">
        <v>115</v>
      </c>
      <c r="F14" s="115"/>
      <c r="G14" s="116"/>
    </row>
    <row r="15" spans="1:8" x14ac:dyDescent="0.25">
      <c r="A15" s="94"/>
      <c r="B15" s="64" t="s">
        <v>116</v>
      </c>
      <c r="C15" s="113" t="s">
        <v>117</v>
      </c>
      <c r="D15" s="116"/>
      <c r="E15" s="117" t="s">
        <v>118</v>
      </c>
      <c r="F15" s="115"/>
      <c r="G15" s="116"/>
    </row>
    <row r="16" spans="1:8" x14ac:dyDescent="0.25">
      <c r="A16" s="94"/>
      <c r="B16" s="64" t="s">
        <v>119</v>
      </c>
      <c r="C16" s="113" t="s">
        <v>120</v>
      </c>
      <c r="D16" s="116"/>
      <c r="E16" s="117" t="s">
        <v>121</v>
      </c>
      <c r="F16" s="115"/>
      <c r="G16" s="116"/>
    </row>
    <row r="17" spans="1:7" x14ac:dyDescent="0.25">
      <c r="A17" s="94"/>
      <c r="B17" s="121" t="s">
        <v>122</v>
      </c>
      <c r="C17" s="88"/>
      <c r="D17" s="88"/>
      <c r="E17" s="88"/>
      <c r="F17" s="88"/>
      <c r="G17" s="89"/>
    </row>
    <row r="18" spans="1:7" x14ac:dyDescent="0.25">
      <c r="A18" s="94"/>
      <c r="B18" s="123" t="s">
        <v>123</v>
      </c>
      <c r="C18" s="88"/>
      <c r="D18" s="88"/>
      <c r="E18" s="88"/>
      <c r="F18" s="88"/>
      <c r="G18" s="89"/>
    </row>
    <row r="19" spans="1:7" x14ac:dyDescent="0.25">
      <c r="A19" s="94"/>
      <c r="B19" s="63" t="s">
        <v>124</v>
      </c>
      <c r="C19" s="123" t="s">
        <v>125</v>
      </c>
      <c r="D19" s="88"/>
      <c r="E19" s="89"/>
      <c r="F19" s="34" t="s">
        <v>126</v>
      </c>
      <c r="G19" s="34" t="s">
        <v>127</v>
      </c>
    </row>
    <row r="20" spans="1:7" x14ac:dyDescent="0.25">
      <c r="A20" s="94"/>
      <c r="B20" s="20" t="s">
        <v>128</v>
      </c>
      <c r="C20" s="108" t="s">
        <v>129</v>
      </c>
      <c r="D20" s="88"/>
      <c r="E20" s="89"/>
      <c r="F20" s="17" t="s">
        <v>130</v>
      </c>
      <c r="G20" s="15"/>
    </row>
    <row r="21" spans="1:7" x14ac:dyDescent="0.25">
      <c r="A21" s="94"/>
      <c r="B21" s="20" t="s">
        <v>131</v>
      </c>
      <c r="C21" s="108" t="s">
        <v>132</v>
      </c>
      <c r="D21" s="88"/>
      <c r="E21" s="89"/>
      <c r="F21" s="17" t="s">
        <v>133</v>
      </c>
      <c r="G21" s="15"/>
    </row>
    <row r="22" spans="1:7" x14ac:dyDescent="0.25">
      <c r="A22" s="94"/>
      <c r="B22" s="20" t="s">
        <v>134</v>
      </c>
      <c r="C22" s="108" t="s">
        <v>135</v>
      </c>
      <c r="D22" s="88"/>
      <c r="E22" s="89"/>
      <c r="F22" s="17" t="s">
        <v>136</v>
      </c>
      <c r="G22" s="15"/>
    </row>
    <row r="23" spans="1:7" x14ac:dyDescent="0.25">
      <c r="A23" s="94"/>
      <c r="B23" s="109" t="s">
        <v>137</v>
      </c>
      <c r="C23" s="88"/>
      <c r="D23" s="88"/>
      <c r="E23" s="88"/>
      <c r="F23" s="88"/>
      <c r="G23" s="89"/>
    </row>
    <row r="24" spans="1:7" x14ac:dyDescent="0.25">
      <c r="A24" s="94"/>
      <c r="B24" s="21" t="s">
        <v>124</v>
      </c>
      <c r="C24" s="21" t="s">
        <v>138</v>
      </c>
      <c r="D24" s="21" t="s">
        <v>19</v>
      </c>
      <c r="E24" s="21" t="s">
        <v>139</v>
      </c>
      <c r="F24" s="21" t="s">
        <v>140</v>
      </c>
      <c r="G24" s="21" t="s">
        <v>141</v>
      </c>
    </row>
    <row r="25" spans="1:7" ht="81" customHeight="1" x14ac:dyDescent="0.25">
      <c r="A25" s="94"/>
      <c r="B25" s="18" t="s">
        <v>128</v>
      </c>
      <c r="C25" s="18" t="s">
        <v>129</v>
      </c>
      <c r="D25" s="18" t="s">
        <v>142</v>
      </c>
      <c r="E25" s="18" t="s">
        <v>143</v>
      </c>
      <c r="F25" s="18" t="s">
        <v>144</v>
      </c>
      <c r="G25" s="18" t="s">
        <v>145</v>
      </c>
    </row>
    <row r="26" spans="1:7" ht="108" customHeight="1" x14ac:dyDescent="0.25">
      <c r="A26" s="94"/>
      <c r="B26" s="18" t="s">
        <v>131</v>
      </c>
      <c r="C26" s="18" t="s">
        <v>146</v>
      </c>
      <c r="D26" s="18" t="s">
        <v>147</v>
      </c>
      <c r="E26" s="18" t="s">
        <v>148</v>
      </c>
      <c r="F26" s="18" t="s">
        <v>149</v>
      </c>
      <c r="G26" s="18" t="s">
        <v>150</v>
      </c>
    </row>
    <row r="27" spans="1:7" ht="121.5" customHeight="1" x14ac:dyDescent="0.25">
      <c r="A27" s="94"/>
      <c r="B27" s="18" t="s">
        <v>134</v>
      </c>
      <c r="C27" s="18" t="s">
        <v>151</v>
      </c>
      <c r="D27" s="18" t="s">
        <v>152</v>
      </c>
      <c r="E27" s="18" t="s">
        <v>143</v>
      </c>
      <c r="F27" s="18" t="s">
        <v>153</v>
      </c>
      <c r="G27" s="18" t="s">
        <v>154</v>
      </c>
    </row>
    <row r="28" spans="1:7" ht="81" customHeight="1" x14ac:dyDescent="0.25">
      <c r="A28" s="95"/>
      <c r="B28" s="18" t="s">
        <v>155</v>
      </c>
      <c r="C28" s="18" t="s">
        <v>156</v>
      </c>
      <c r="D28" s="18" t="s">
        <v>157</v>
      </c>
      <c r="E28" s="18" t="s">
        <v>158</v>
      </c>
      <c r="F28" s="18" t="s">
        <v>159</v>
      </c>
      <c r="G28" s="18" t="s">
        <v>160</v>
      </c>
    </row>
    <row r="29" spans="1:7" x14ac:dyDescent="0.25">
      <c r="A29" s="113" t="s">
        <v>25</v>
      </c>
      <c r="B29" s="107" t="s">
        <v>122</v>
      </c>
      <c r="C29" s="80"/>
      <c r="D29" s="80"/>
      <c r="E29" s="80"/>
      <c r="F29" s="80"/>
      <c r="G29" s="81"/>
    </row>
    <row r="30" spans="1:7" x14ac:dyDescent="0.25">
      <c r="A30" s="94"/>
      <c r="B30" s="105" t="s">
        <v>123</v>
      </c>
      <c r="C30" s="80"/>
      <c r="D30" s="80"/>
      <c r="E30" s="80"/>
      <c r="F30" s="80"/>
      <c r="G30" s="81"/>
    </row>
    <row r="31" spans="1:7" x14ac:dyDescent="0.25">
      <c r="A31" s="94"/>
      <c r="B31" s="66" t="s">
        <v>124</v>
      </c>
      <c r="C31" s="105" t="s">
        <v>125</v>
      </c>
      <c r="D31" s="80"/>
      <c r="E31" s="81"/>
      <c r="F31" s="39" t="s">
        <v>126</v>
      </c>
      <c r="G31" s="39" t="s">
        <v>127</v>
      </c>
    </row>
    <row r="32" spans="1:7" x14ac:dyDescent="0.25">
      <c r="A32" s="94"/>
      <c r="B32" s="41" t="s">
        <v>161</v>
      </c>
      <c r="C32" s="106" t="s">
        <v>162</v>
      </c>
      <c r="D32" s="80"/>
      <c r="E32" s="81"/>
      <c r="F32" s="42" t="s">
        <v>27</v>
      </c>
      <c r="G32" s="37"/>
    </row>
    <row r="33" spans="1:7" x14ac:dyDescent="0.25">
      <c r="A33" s="94"/>
      <c r="B33" s="104" t="s">
        <v>137</v>
      </c>
      <c r="C33" s="80"/>
      <c r="D33" s="80"/>
      <c r="E33" s="80"/>
      <c r="F33" s="80"/>
      <c r="G33" s="81"/>
    </row>
    <row r="34" spans="1:7" x14ac:dyDescent="0.25">
      <c r="A34" s="94"/>
      <c r="B34" s="38" t="s">
        <v>124</v>
      </c>
      <c r="C34" s="38" t="s">
        <v>138</v>
      </c>
      <c r="D34" s="38" t="s">
        <v>19</v>
      </c>
      <c r="E34" s="38" t="s">
        <v>139</v>
      </c>
      <c r="F34" s="38" t="s">
        <v>140</v>
      </c>
      <c r="G34" s="38" t="s">
        <v>141</v>
      </c>
    </row>
    <row r="35" spans="1:7" ht="135" customHeight="1" x14ac:dyDescent="0.25">
      <c r="A35" s="95"/>
      <c r="B35" s="40" t="s">
        <v>161</v>
      </c>
      <c r="C35" s="44" t="s">
        <v>163</v>
      </c>
      <c r="D35" s="44" t="s">
        <v>164</v>
      </c>
      <c r="E35" s="44" t="s">
        <v>165</v>
      </c>
      <c r="F35" s="44" t="s">
        <v>166</v>
      </c>
      <c r="G35" s="44" t="s">
        <v>167</v>
      </c>
    </row>
    <row r="36" spans="1:7" x14ac:dyDescent="0.25">
      <c r="A36" s="110" t="s">
        <v>28</v>
      </c>
      <c r="B36" s="107" t="s">
        <v>122</v>
      </c>
      <c r="C36" s="80"/>
      <c r="D36" s="80"/>
      <c r="E36" s="80"/>
      <c r="F36" s="80"/>
      <c r="G36" s="81"/>
    </row>
    <row r="37" spans="1:7" x14ac:dyDescent="0.25">
      <c r="A37" s="111"/>
      <c r="B37" s="105" t="s">
        <v>123</v>
      </c>
      <c r="C37" s="80"/>
      <c r="D37" s="80"/>
      <c r="E37" s="80"/>
      <c r="F37" s="80"/>
      <c r="G37" s="81"/>
    </row>
    <row r="38" spans="1:7" x14ac:dyDescent="0.25">
      <c r="A38" s="111"/>
      <c r="B38" s="66" t="s">
        <v>124</v>
      </c>
      <c r="C38" s="105" t="s">
        <v>125</v>
      </c>
      <c r="D38" s="80"/>
      <c r="E38" s="81"/>
      <c r="F38" s="39" t="s">
        <v>126</v>
      </c>
      <c r="G38" s="39" t="s">
        <v>127</v>
      </c>
    </row>
    <row r="39" spans="1:7" x14ac:dyDescent="0.25">
      <c r="A39" s="111"/>
      <c r="B39" s="41" t="s">
        <v>168</v>
      </c>
      <c r="C39" s="106" t="s">
        <v>169</v>
      </c>
      <c r="D39" s="80"/>
      <c r="E39" s="81"/>
      <c r="F39" s="42" t="s">
        <v>170</v>
      </c>
      <c r="G39" s="37"/>
    </row>
    <row r="40" spans="1:7" x14ac:dyDescent="0.25">
      <c r="A40" s="111"/>
      <c r="B40" s="104" t="s">
        <v>137</v>
      </c>
      <c r="C40" s="80"/>
      <c r="D40" s="80"/>
      <c r="E40" s="80"/>
      <c r="F40" s="80"/>
      <c r="G40" s="81"/>
    </row>
    <row r="41" spans="1:7" x14ac:dyDescent="0.25">
      <c r="A41" s="111"/>
      <c r="B41" s="38" t="s">
        <v>124</v>
      </c>
      <c r="C41" s="38" t="s">
        <v>138</v>
      </c>
      <c r="D41" s="38" t="s">
        <v>19</v>
      </c>
      <c r="E41" s="38" t="s">
        <v>139</v>
      </c>
      <c r="F41" s="38" t="s">
        <v>140</v>
      </c>
      <c r="G41" s="38" t="s">
        <v>141</v>
      </c>
    </row>
    <row r="42" spans="1:7" ht="54" customHeight="1" x14ac:dyDescent="0.25">
      <c r="A42" s="112"/>
      <c r="B42" s="40" t="s">
        <v>168</v>
      </c>
      <c r="C42" s="44" t="s">
        <v>171</v>
      </c>
      <c r="D42" s="44" t="s">
        <v>172</v>
      </c>
      <c r="E42" s="44" t="s">
        <v>173</v>
      </c>
      <c r="F42" s="44" t="s">
        <v>174</v>
      </c>
      <c r="G42" s="44" t="s">
        <v>175</v>
      </c>
    </row>
    <row r="43" spans="1:7" x14ac:dyDescent="0.25">
      <c r="A43" s="110" t="s">
        <v>30</v>
      </c>
      <c r="B43" s="107" t="s">
        <v>122</v>
      </c>
      <c r="C43" s="80"/>
      <c r="D43" s="80"/>
      <c r="E43" s="80"/>
      <c r="F43" s="80"/>
      <c r="G43" s="81"/>
    </row>
    <row r="44" spans="1:7" x14ac:dyDescent="0.25">
      <c r="A44" s="111"/>
      <c r="B44" s="105" t="s">
        <v>123</v>
      </c>
      <c r="C44" s="80"/>
      <c r="D44" s="80"/>
      <c r="E44" s="80"/>
      <c r="F44" s="80"/>
      <c r="G44" s="81"/>
    </row>
    <row r="45" spans="1:7" x14ac:dyDescent="0.25">
      <c r="A45" s="111"/>
      <c r="B45" s="66" t="s">
        <v>124</v>
      </c>
      <c r="C45" s="105" t="s">
        <v>125</v>
      </c>
      <c r="D45" s="80"/>
      <c r="E45" s="81"/>
      <c r="F45" s="39" t="s">
        <v>126</v>
      </c>
      <c r="G45" s="39" t="s">
        <v>127</v>
      </c>
    </row>
    <row r="46" spans="1:7" x14ac:dyDescent="0.25">
      <c r="A46" s="111"/>
      <c r="B46" s="41" t="s">
        <v>176</v>
      </c>
      <c r="C46" s="106" t="s">
        <v>177</v>
      </c>
      <c r="D46" s="80"/>
      <c r="E46" s="81"/>
      <c r="F46" s="42" t="s">
        <v>170</v>
      </c>
      <c r="G46" s="37"/>
    </row>
    <row r="47" spans="1:7" x14ac:dyDescent="0.25">
      <c r="A47" s="111"/>
      <c r="B47" s="104" t="s">
        <v>137</v>
      </c>
      <c r="C47" s="80"/>
      <c r="D47" s="80"/>
      <c r="E47" s="80"/>
      <c r="F47" s="80"/>
      <c r="G47" s="81"/>
    </row>
    <row r="48" spans="1:7" x14ac:dyDescent="0.25">
      <c r="A48" s="111"/>
      <c r="B48" s="38" t="s">
        <v>124</v>
      </c>
      <c r="C48" s="38" t="s">
        <v>138</v>
      </c>
      <c r="D48" s="38" t="s">
        <v>19</v>
      </c>
      <c r="E48" s="38" t="s">
        <v>139</v>
      </c>
      <c r="F48" s="38" t="s">
        <v>140</v>
      </c>
      <c r="G48" s="38" t="s">
        <v>141</v>
      </c>
    </row>
    <row r="49" spans="1:7" ht="135" customHeight="1" x14ac:dyDescent="0.25">
      <c r="A49" s="112"/>
      <c r="B49" s="40" t="s">
        <v>176</v>
      </c>
      <c r="C49" s="44" t="s">
        <v>178</v>
      </c>
      <c r="D49" s="44" t="s">
        <v>179</v>
      </c>
      <c r="E49" s="44" t="s">
        <v>180</v>
      </c>
      <c r="F49" s="44" t="s">
        <v>181</v>
      </c>
      <c r="G49" s="44" t="s">
        <v>182</v>
      </c>
    </row>
    <row r="50" spans="1:7" x14ac:dyDescent="0.25">
      <c r="A50" s="110" t="s">
        <v>32</v>
      </c>
      <c r="B50" s="107" t="s">
        <v>122</v>
      </c>
      <c r="C50" s="80"/>
      <c r="D50" s="80"/>
      <c r="E50" s="80"/>
      <c r="F50" s="80"/>
      <c r="G50" s="81"/>
    </row>
    <row r="51" spans="1:7" x14ac:dyDescent="0.25">
      <c r="A51" s="111"/>
      <c r="B51" s="105" t="s">
        <v>123</v>
      </c>
      <c r="C51" s="80"/>
      <c r="D51" s="80"/>
      <c r="E51" s="80"/>
      <c r="F51" s="80"/>
      <c r="G51" s="81"/>
    </row>
    <row r="52" spans="1:7" x14ac:dyDescent="0.25">
      <c r="A52" s="111"/>
      <c r="B52" s="66" t="s">
        <v>124</v>
      </c>
      <c r="C52" s="105" t="s">
        <v>125</v>
      </c>
      <c r="D52" s="80"/>
      <c r="E52" s="81"/>
      <c r="F52" s="39" t="s">
        <v>126</v>
      </c>
      <c r="G52" s="39" t="s">
        <v>127</v>
      </c>
    </row>
    <row r="53" spans="1:7" x14ac:dyDescent="0.25">
      <c r="A53" s="111"/>
      <c r="B53" s="41" t="s">
        <v>183</v>
      </c>
      <c r="C53" s="106" t="s">
        <v>184</v>
      </c>
      <c r="D53" s="80"/>
      <c r="E53" s="81"/>
      <c r="F53" s="42" t="s">
        <v>170</v>
      </c>
      <c r="G53" s="37"/>
    </row>
    <row r="54" spans="1:7" x14ac:dyDescent="0.25">
      <c r="A54" s="111"/>
      <c r="B54" s="104" t="s">
        <v>137</v>
      </c>
      <c r="C54" s="80"/>
      <c r="D54" s="80"/>
      <c r="E54" s="80"/>
      <c r="F54" s="80"/>
      <c r="G54" s="81"/>
    </row>
    <row r="55" spans="1:7" x14ac:dyDescent="0.25">
      <c r="A55" s="111"/>
      <c r="B55" s="38" t="s">
        <v>124</v>
      </c>
      <c r="C55" s="38" t="s">
        <v>138</v>
      </c>
      <c r="D55" s="38" t="s">
        <v>19</v>
      </c>
      <c r="E55" s="38" t="s">
        <v>139</v>
      </c>
      <c r="F55" s="38" t="s">
        <v>140</v>
      </c>
      <c r="G55" s="38" t="s">
        <v>141</v>
      </c>
    </row>
    <row r="56" spans="1:7" ht="94.5" customHeight="1" x14ac:dyDescent="0.25">
      <c r="A56" s="112"/>
      <c r="B56" s="40" t="s">
        <v>183</v>
      </c>
      <c r="C56" s="44" t="s">
        <v>185</v>
      </c>
      <c r="D56" s="44" t="s">
        <v>186</v>
      </c>
      <c r="E56" s="44" t="s">
        <v>187</v>
      </c>
      <c r="F56" s="44" t="s">
        <v>188</v>
      </c>
      <c r="G56" s="44" t="s">
        <v>189</v>
      </c>
    </row>
    <row r="57" spans="1:7" x14ac:dyDescent="0.25">
      <c r="A57" s="110" t="s">
        <v>34</v>
      </c>
      <c r="B57" s="107" t="s">
        <v>122</v>
      </c>
      <c r="C57" s="80"/>
      <c r="D57" s="80"/>
      <c r="E57" s="80"/>
      <c r="F57" s="80"/>
      <c r="G57" s="81"/>
    </row>
    <row r="58" spans="1:7" x14ac:dyDescent="0.25">
      <c r="A58" s="111"/>
      <c r="B58" s="105" t="s">
        <v>123</v>
      </c>
      <c r="C58" s="80"/>
      <c r="D58" s="80"/>
      <c r="E58" s="80"/>
      <c r="F58" s="80"/>
      <c r="G58" s="81"/>
    </row>
    <row r="59" spans="1:7" x14ac:dyDescent="0.25">
      <c r="A59" s="111"/>
      <c r="B59" s="66" t="s">
        <v>124</v>
      </c>
      <c r="C59" s="105" t="s">
        <v>125</v>
      </c>
      <c r="D59" s="80"/>
      <c r="E59" s="81"/>
      <c r="F59" s="39" t="s">
        <v>126</v>
      </c>
      <c r="G59" s="39" t="s">
        <v>127</v>
      </c>
    </row>
    <row r="60" spans="1:7" x14ac:dyDescent="0.25">
      <c r="A60" s="111"/>
      <c r="B60" s="41" t="s">
        <v>190</v>
      </c>
      <c r="C60" s="106" t="s">
        <v>191</v>
      </c>
      <c r="D60" s="80"/>
      <c r="E60" s="81"/>
      <c r="F60" s="42" t="s">
        <v>170</v>
      </c>
      <c r="G60" s="37"/>
    </row>
    <row r="61" spans="1:7" x14ac:dyDescent="0.25">
      <c r="A61" s="111"/>
      <c r="B61" s="104" t="s">
        <v>137</v>
      </c>
      <c r="C61" s="80"/>
      <c r="D61" s="80"/>
      <c r="E61" s="80"/>
      <c r="F61" s="80"/>
      <c r="G61" s="81"/>
    </row>
    <row r="62" spans="1:7" x14ac:dyDescent="0.25">
      <c r="A62" s="111"/>
      <c r="B62" s="38" t="s">
        <v>124</v>
      </c>
      <c r="C62" s="38" t="s">
        <v>138</v>
      </c>
      <c r="D62" s="38" t="s">
        <v>19</v>
      </c>
      <c r="E62" s="38" t="s">
        <v>139</v>
      </c>
      <c r="F62" s="38" t="s">
        <v>140</v>
      </c>
      <c r="G62" s="38" t="s">
        <v>141</v>
      </c>
    </row>
    <row r="63" spans="1:7" ht="148.5" customHeight="1" x14ac:dyDescent="0.25">
      <c r="A63" s="112"/>
      <c r="B63" s="40" t="s">
        <v>190</v>
      </c>
      <c r="C63" s="40" t="s">
        <v>191</v>
      </c>
      <c r="D63" s="40" t="s">
        <v>192</v>
      </c>
      <c r="E63" s="40" t="s">
        <v>193</v>
      </c>
      <c r="F63" s="40" t="s">
        <v>194</v>
      </c>
      <c r="G63" s="40" t="s">
        <v>195</v>
      </c>
    </row>
    <row r="64" spans="1:7" x14ac:dyDescent="0.25">
      <c r="A64" s="110" t="s">
        <v>36</v>
      </c>
      <c r="B64" s="107" t="s">
        <v>122</v>
      </c>
      <c r="C64" s="80"/>
      <c r="D64" s="80"/>
      <c r="E64" s="80"/>
      <c r="F64" s="80"/>
      <c r="G64" s="81"/>
    </row>
    <row r="65" spans="1:7" x14ac:dyDescent="0.25">
      <c r="A65" s="111"/>
      <c r="B65" s="105" t="s">
        <v>123</v>
      </c>
      <c r="C65" s="80"/>
      <c r="D65" s="80"/>
      <c r="E65" s="80"/>
      <c r="F65" s="80"/>
      <c r="G65" s="81"/>
    </row>
    <row r="66" spans="1:7" x14ac:dyDescent="0.25">
      <c r="A66" s="111"/>
      <c r="B66" s="66" t="s">
        <v>124</v>
      </c>
      <c r="C66" s="105" t="s">
        <v>125</v>
      </c>
      <c r="D66" s="80"/>
      <c r="E66" s="81"/>
      <c r="F66" s="39" t="s">
        <v>126</v>
      </c>
      <c r="G66" s="39" t="s">
        <v>127</v>
      </c>
    </row>
    <row r="67" spans="1:7" x14ac:dyDescent="0.25">
      <c r="A67" s="111"/>
      <c r="B67" s="41" t="s">
        <v>196</v>
      </c>
      <c r="C67" s="106" t="s">
        <v>197</v>
      </c>
      <c r="D67" s="80"/>
      <c r="E67" s="81"/>
      <c r="F67" s="42" t="s">
        <v>170</v>
      </c>
      <c r="G67" s="37"/>
    </row>
    <row r="68" spans="1:7" x14ac:dyDescent="0.25">
      <c r="A68" s="111"/>
      <c r="B68" s="104" t="s">
        <v>137</v>
      </c>
      <c r="C68" s="80"/>
      <c r="D68" s="80"/>
      <c r="E68" s="80"/>
      <c r="F68" s="80"/>
      <c r="G68" s="81"/>
    </row>
    <row r="69" spans="1:7" x14ac:dyDescent="0.25">
      <c r="A69" s="111"/>
      <c r="B69" s="38" t="s">
        <v>124</v>
      </c>
      <c r="C69" s="38" t="s">
        <v>138</v>
      </c>
      <c r="D69" s="38" t="s">
        <v>19</v>
      </c>
      <c r="E69" s="38" t="s">
        <v>139</v>
      </c>
      <c r="F69" s="38" t="s">
        <v>140</v>
      </c>
      <c r="G69" s="38" t="s">
        <v>141</v>
      </c>
    </row>
    <row r="70" spans="1:7" ht="81" customHeight="1" x14ac:dyDescent="0.25">
      <c r="A70" s="112"/>
      <c r="B70" s="40" t="s">
        <v>196</v>
      </c>
      <c r="C70" s="40" t="s">
        <v>197</v>
      </c>
      <c r="D70" s="40" t="s">
        <v>198</v>
      </c>
      <c r="E70" s="40" t="s">
        <v>199</v>
      </c>
      <c r="F70" s="40" t="s">
        <v>200</v>
      </c>
      <c r="G70" s="40" t="s">
        <v>201</v>
      </c>
    </row>
  </sheetData>
  <mergeCells count="65">
    <mergeCell ref="B17:G17"/>
    <mergeCell ref="C22:E22"/>
    <mergeCell ref="B10:G10"/>
    <mergeCell ref="A50:A56"/>
    <mergeCell ref="B18:G18"/>
    <mergeCell ref="C19:E19"/>
    <mergeCell ref="C20:E20"/>
    <mergeCell ref="B29:G29"/>
    <mergeCell ref="A9:A28"/>
    <mergeCell ref="B11:G11"/>
    <mergeCell ref="B12:G12"/>
    <mergeCell ref="C13:D13"/>
    <mergeCell ref="E13:G13"/>
    <mergeCell ref="C14:D14"/>
    <mergeCell ref="E14:G14"/>
    <mergeCell ref="C15:D15"/>
    <mergeCell ref="B9:G9"/>
    <mergeCell ref="E15:G15"/>
    <mergeCell ref="C16:D16"/>
    <mergeCell ref="A1:A8"/>
    <mergeCell ref="F1:G1"/>
    <mergeCell ref="F2:G2"/>
    <mergeCell ref="F3:G3"/>
    <mergeCell ref="F4:G4"/>
    <mergeCell ref="F5:G5"/>
    <mergeCell ref="F6:G6"/>
    <mergeCell ref="F7:G7"/>
    <mergeCell ref="F8:G8"/>
    <mergeCell ref="E16:G16"/>
    <mergeCell ref="A64:A70"/>
    <mergeCell ref="B64:G64"/>
    <mergeCell ref="B65:G65"/>
    <mergeCell ref="A29:A35"/>
    <mergeCell ref="C59:E59"/>
    <mergeCell ref="C60:E60"/>
    <mergeCell ref="A57:A63"/>
    <mergeCell ref="B57:G57"/>
    <mergeCell ref="B58:G58"/>
    <mergeCell ref="B61:G61"/>
    <mergeCell ref="C38:E38"/>
    <mergeCell ref="A36:A42"/>
    <mergeCell ref="B36:G36"/>
    <mergeCell ref="B37:G37"/>
    <mergeCell ref="B40:G40"/>
    <mergeCell ref="A43:A49"/>
    <mergeCell ref="B30:G30"/>
    <mergeCell ref="C66:E66"/>
    <mergeCell ref="C67:E67"/>
    <mergeCell ref="C21:E21"/>
    <mergeCell ref="B23:G23"/>
    <mergeCell ref="B54:G54"/>
    <mergeCell ref="B50:G50"/>
    <mergeCell ref="B68:G68"/>
    <mergeCell ref="C31:E31"/>
    <mergeCell ref="C32:E32"/>
    <mergeCell ref="B33:G33"/>
    <mergeCell ref="B43:G43"/>
    <mergeCell ref="B44:G44"/>
    <mergeCell ref="C45:E45"/>
    <mergeCell ref="C46:E46"/>
    <mergeCell ref="B47:G47"/>
    <mergeCell ref="B51:G51"/>
    <mergeCell ref="C52:E52"/>
    <mergeCell ref="C53:E53"/>
    <mergeCell ref="C39:E39"/>
  </mergeCells>
  <phoneticPr fontId="1" type="noConversion"/>
  <dataValidations disablePrompts="1" count="1">
    <dataValidation type="list" allowBlank="1" showInputMessage="1" showErrorMessage="1" sqref="C2:C8">
      <formula1>"流程图,状态机,等价类划分&amp;数据组合,直接分析"</formula1>
    </dataValidation>
  </dataValidations>
  <pageMargins left="0.7" right="0.7" top="0.75" bottom="0.75" header="0.3" footer="0.3"/>
  <pageSetup paperSize="9" orientation="portrait" horizontalDpi="4294967295" verticalDpi="4294967295"/>
  <drawing r:id="rId1"/>
  <legacyDrawing r:id="rId2"/>
  <oleObjects>
    <mc:AlternateContent xmlns:mc="http://schemas.openxmlformats.org/markup-compatibility/2006">
      <mc:Choice Requires="x14">
        <oleObject progId="Visio.Drawing.15" shapeId="1028" r:id="rId3">
          <objectPr defaultSize="0" autoPict="0" r:id="rId4">
            <anchor moveWithCells="1">
              <from>
                <xdr:col>1</xdr:col>
                <xdr:colOff>476250</xdr:colOff>
                <xdr:row>10</xdr:row>
                <xdr:rowOff>31750</xdr:rowOff>
              </from>
              <to>
                <xdr:col>4</xdr:col>
                <xdr:colOff>279400</xdr:colOff>
                <xdr:row>10</xdr:row>
                <xdr:rowOff>5048250</xdr:rowOff>
              </to>
            </anchor>
          </objectPr>
        </oleObject>
      </mc:Choice>
      <mc:Fallback>
        <oleObject progId="Visio.Drawing.15" shapeId="1028" r:id="rId3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G237"/>
  <sheetViews>
    <sheetView topLeftCell="A220" workbookViewId="0">
      <selection activeCell="B231" sqref="B231:G231"/>
    </sheetView>
  </sheetViews>
  <sheetFormatPr defaultColWidth="9" defaultRowHeight="14" x14ac:dyDescent="0.25"/>
  <cols>
    <col min="1" max="1" width="15" style="61" customWidth="1"/>
    <col min="2" max="2" width="22.90625" style="61" customWidth="1"/>
    <col min="3" max="3" width="42.26953125" style="61" customWidth="1"/>
    <col min="4" max="4" width="30.90625" style="61" customWidth="1"/>
    <col min="5" max="5" width="35" style="61" customWidth="1"/>
    <col min="6" max="6" width="49.36328125" style="61" customWidth="1"/>
    <col min="7" max="7" width="50.90625" style="61" customWidth="1"/>
    <col min="8" max="21" width="9" style="61" customWidth="1"/>
    <col min="22" max="16384" width="9" style="61"/>
  </cols>
  <sheetData>
    <row r="1" spans="1:7" x14ac:dyDescent="0.25">
      <c r="A1" s="130" t="s">
        <v>105</v>
      </c>
      <c r="B1" s="68" t="s">
        <v>15</v>
      </c>
      <c r="C1" s="68" t="s">
        <v>16</v>
      </c>
      <c r="D1" s="68" t="s">
        <v>17</v>
      </c>
      <c r="E1" s="68" t="s">
        <v>18</v>
      </c>
      <c r="F1" s="132" t="s">
        <v>19</v>
      </c>
      <c r="G1" s="89"/>
    </row>
    <row r="2" spans="1:7" x14ac:dyDescent="0.25">
      <c r="A2" s="94"/>
      <c r="B2" s="51" t="s">
        <v>39</v>
      </c>
      <c r="C2" s="51" t="s">
        <v>40</v>
      </c>
      <c r="D2" s="51"/>
      <c r="E2" s="49">
        <v>4</v>
      </c>
      <c r="F2" s="120" t="s">
        <v>41</v>
      </c>
      <c r="G2" s="92"/>
    </row>
    <row r="3" spans="1:7" x14ac:dyDescent="0.25">
      <c r="A3" s="94"/>
      <c r="B3" s="51" t="s">
        <v>42</v>
      </c>
      <c r="C3" s="51" t="s">
        <v>26</v>
      </c>
      <c r="D3" s="51"/>
      <c r="E3" s="49">
        <v>3</v>
      </c>
      <c r="F3" s="120" t="s">
        <v>43</v>
      </c>
      <c r="G3" s="92"/>
    </row>
    <row r="4" spans="1:7" x14ac:dyDescent="0.25">
      <c r="A4" s="94"/>
      <c r="B4" s="51" t="s">
        <v>44</v>
      </c>
      <c r="C4" s="51" t="s">
        <v>26</v>
      </c>
      <c r="D4" s="51"/>
      <c r="E4" s="49">
        <v>3</v>
      </c>
      <c r="F4" s="120" t="s">
        <v>45</v>
      </c>
      <c r="G4" s="92"/>
    </row>
    <row r="5" spans="1:7" x14ac:dyDescent="0.25">
      <c r="A5" s="94"/>
      <c r="B5" s="51" t="s">
        <v>46</v>
      </c>
      <c r="C5" s="51" t="s">
        <v>26</v>
      </c>
      <c r="D5" s="51"/>
      <c r="E5" s="49">
        <v>3</v>
      </c>
      <c r="F5" s="120" t="s">
        <v>47</v>
      </c>
      <c r="G5" s="92"/>
    </row>
    <row r="6" spans="1:7" x14ac:dyDescent="0.25">
      <c r="A6" s="94"/>
      <c r="B6" s="51" t="s">
        <v>48</v>
      </c>
      <c r="C6" s="51" t="s">
        <v>26</v>
      </c>
      <c r="D6" s="51"/>
      <c r="E6" s="49">
        <v>3</v>
      </c>
      <c r="F6" s="120" t="s">
        <v>49</v>
      </c>
      <c r="G6" s="92"/>
    </row>
    <row r="7" spans="1:7" x14ac:dyDescent="0.25">
      <c r="A7" s="94"/>
      <c r="B7" s="51" t="s">
        <v>50</v>
      </c>
      <c r="C7" s="51" t="s">
        <v>26</v>
      </c>
      <c r="D7" s="51"/>
      <c r="E7" s="49">
        <v>1</v>
      </c>
      <c r="F7" s="120" t="s">
        <v>51</v>
      </c>
      <c r="G7" s="92"/>
    </row>
    <row r="8" spans="1:7" x14ac:dyDescent="0.25">
      <c r="A8" s="94"/>
      <c r="B8" s="51" t="s">
        <v>52</v>
      </c>
      <c r="C8" s="51" t="s">
        <v>26</v>
      </c>
      <c r="D8" s="51"/>
      <c r="E8" s="49">
        <v>2</v>
      </c>
      <c r="F8" s="120" t="s">
        <v>53</v>
      </c>
      <c r="G8" s="92"/>
    </row>
    <row r="9" spans="1:7" x14ac:dyDescent="0.25">
      <c r="A9" s="94"/>
      <c r="B9" s="51" t="s">
        <v>54</v>
      </c>
      <c r="C9" s="51" t="s">
        <v>26</v>
      </c>
      <c r="D9" s="51"/>
      <c r="E9" s="49">
        <v>2</v>
      </c>
      <c r="F9" s="120" t="s">
        <v>55</v>
      </c>
      <c r="G9" s="92"/>
    </row>
    <row r="10" spans="1:7" x14ac:dyDescent="0.25">
      <c r="A10" s="94"/>
      <c r="B10" s="51" t="s">
        <v>56</v>
      </c>
      <c r="C10" s="51" t="s">
        <v>26</v>
      </c>
      <c r="D10" s="51"/>
      <c r="E10" s="49">
        <v>3</v>
      </c>
      <c r="F10" s="120" t="s">
        <v>57</v>
      </c>
      <c r="G10" s="92"/>
    </row>
    <row r="11" spans="1:7" x14ac:dyDescent="0.25">
      <c r="A11" s="94"/>
      <c r="B11" s="51" t="s">
        <v>58</v>
      </c>
      <c r="C11" s="51" t="s">
        <v>26</v>
      </c>
      <c r="D11" s="51"/>
      <c r="E11" s="49">
        <v>1</v>
      </c>
      <c r="F11" s="120" t="s">
        <v>59</v>
      </c>
      <c r="G11" s="92"/>
    </row>
    <row r="12" spans="1:7" x14ac:dyDescent="0.25">
      <c r="A12" s="94"/>
      <c r="B12" s="51" t="s">
        <v>60</v>
      </c>
      <c r="C12" s="51" t="s">
        <v>26</v>
      </c>
      <c r="D12" s="51"/>
      <c r="E12" s="49">
        <v>2</v>
      </c>
      <c r="F12" s="120" t="s">
        <v>61</v>
      </c>
      <c r="G12" s="92"/>
    </row>
    <row r="13" spans="1:7" x14ac:dyDescent="0.25">
      <c r="A13" s="94"/>
      <c r="B13" s="51" t="s">
        <v>62</v>
      </c>
      <c r="C13" s="51" t="s">
        <v>26</v>
      </c>
      <c r="D13" s="51"/>
      <c r="E13" s="49">
        <v>1</v>
      </c>
      <c r="F13" s="120" t="s">
        <v>63</v>
      </c>
      <c r="G13" s="92"/>
    </row>
    <row r="14" spans="1:7" x14ac:dyDescent="0.25">
      <c r="A14" s="94"/>
      <c r="B14" s="51" t="s">
        <v>64</v>
      </c>
      <c r="C14" s="51" t="s">
        <v>26</v>
      </c>
      <c r="D14" s="51"/>
      <c r="E14" s="49">
        <v>1</v>
      </c>
      <c r="F14" s="120" t="s">
        <v>65</v>
      </c>
      <c r="G14" s="92"/>
    </row>
    <row r="15" spans="1:7" x14ac:dyDescent="0.25">
      <c r="A15" s="94"/>
      <c r="B15" s="51" t="s">
        <v>66</v>
      </c>
      <c r="C15" s="51" t="s">
        <v>26</v>
      </c>
      <c r="D15" s="51"/>
      <c r="E15" s="49">
        <v>1</v>
      </c>
      <c r="F15" s="120" t="s">
        <v>67</v>
      </c>
      <c r="G15" s="92"/>
    </row>
    <row r="16" spans="1:7" x14ac:dyDescent="0.25">
      <c r="A16" s="94"/>
      <c r="B16" s="51" t="s">
        <v>68</v>
      </c>
      <c r="C16" s="51" t="s">
        <v>26</v>
      </c>
      <c r="D16" s="51"/>
      <c r="E16" s="49">
        <v>2</v>
      </c>
      <c r="F16" s="120" t="s">
        <v>69</v>
      </c>
      <c r="G16" s="92"/>
    </row>
    <row r="17" spans="1:7" x14ac:dyDescent="0.25">
      <c r="A17" s="94"/>
      <c r="B17" s="51" t="s">
        <v>70</v>
      </c>
      <c r="C17" s="51" t="s">
        <v>26</v>
      </c>
      <c r="D17" s="51"/>
      <c r="E17" s="49">
        <v>1</v>
      </c>
      <c r="F17" s="120" t="s">
        <v>71</v>
      </c>
      <c r="G17" s="92"/>
    </row>
    <row r="18" spans="1:7" x14ac:dyDescent="0.25">
      <c r="A18" s="94"/>
      <c r="B18" s="51" t="s">
        <v>72</v>
      </c>
      <c r="C18" s="51" t="s">
        <v>26</v>
      </c>
      <c r="D18" s="51"/>
      <c r="E18" s="49">
        <v>1</v>
      </c>
      <c r="F18" s="120" t="s">
        <v>73</v>
      </c>
      <c r="G18" s="92"/>
    </row>
    <row r="19" spans="1:7" x14ac:dyDescent="0.25">
      <c r="A19" s="94"/>
      <c r="B19" s="51" t="s">
        <v>74</v>
      </c>
      <c r="C19" s="51" t="s">
        <v>26</v>
      </c>
      <c r="D19" s="51"/>
      <c r="E19" s="49">
        <v>1</v>
      </c>
      <c r="F19" s="120" t="s">
        <v>75</v>
      </c>
      <c r="G19" s="92"/>
    </row>
    <row r="20" spans="1:7" x14ac:dyDescent="0.25">
      <c r="A20" s="94"/>
      <c r="B20" s="51" t="s">
        <v>76</v>
      </c>
      <c r="C20" s="51" t="s">
        <v>26</v>
      </c>
      <c r="D20" s="51"/>
      <c r="E20" s="49">
        <v>1</v>
      </c>
      <c r="F20" s="120" t="s">
        <v>77</v>
      </c>
      <c r="G20" s="92"/>
    </row>
    <row r="21" spans="1:7" x14ac:dyDescent="0.25">
      <c r="A21" s="94"/>
      <c r="B21" s="51" t="s">
        <v>78</v>
      </c>
      <c r="C21" s="51" t="s">
        <v>26</v>
      </c>
      <c r="D21" s="51"/>
      <c r="E21" s="49">
        <v>1</v>
      </c>
      <c r="F21" s="120" t="s">
        <v>79</v>
      </c>
      <c r="G21" s="92"/>
    </row>
    <row r="22" spans="1:7" x14ac:dyDescent="0.25">
      <c r="A22" s="128"/>
      <c r="B22" s="51" t="s">
        <v>80</v>
      </c>
      <c r="C22" s="51" t="s">
        <v>26</v>
      </c>
      <c r="D22" s="51"/>
      <c r="E22" s="49">
        <v>1</v>
      </c>
      <c r="F22" s="120" t="s">
        <v>81</v>
      </c>
      <c r="G22" s="92"/>
    </row>
    <row r="23" spans="1:7" x14ac:dyDescent="0.25">
      <c r="A23" s="127" t="s">
        <v>39</v>
      </c>
      <c r="B23" s="121" t="s">
        <v>202</v>
      </c>
      <c r="C23" s="88"/>
      <c r="D23" s="88"/>
      <c r="E23" s="88"/>
      <c r="F23" s="88"/>
      <c r="G23" s="89"/>
    </row>
    <row r="24" spans="1:7" x14ac:dyDescent="0.25">
      <c r="A24" s="94"/>
      <c r="B24" s="123" t="s">
        <v>203</v>
      </c>
      <c r="C24" s="88"/>
      <c r="D24" s="88"/>
      <c r="E24" s="88"/>
      <c r="F24" s="88"/>
      <c r="G24" s="89"/>
    </row>
    <row r="25" spans="1:7" x14ac:dyDescent="0.25">
      <c r="A25" s="94"/>
      <c r="B25" s="141" t="s">
        <v>204</v>
      </c>
      <c r="C25" s="21" t="s">
        <v>19</v>
      </c>
      <c r="D25" s="21" t="s">
        <v>205</v>
      </c>
      <c r="E25" s="21" t="s">
        <v>206</v>
      </c>
      <c r="F25" s="131"/>
      <c r="G25" s="89"/>
    </row>
    <row r="26" spans="1:7" x14ac:dyDescent="0.25">
      <c r="A26" s="94"/>
      <c r="B26" s="94"/>
      <c r="C26" s="113" t="s">
        <v>207</v>
      </c>
      <c r="D26" s="36" t="s">
        <v>208</v>
      </c>
      <c r="E26" s="36" t="s">
        <v>209</v>
      </c>
      <c r="F26" s="133" t="s">
        <v>210</v>
      </c>
      <c r="G26" s="134"/>
    </row>
    <row r="27" spans="1:7" x14ac:dyDescent="0.25">
      <c r="A27" s="94"/>
      <c r="B27" s="94"/>
      <c r="C27" s="94"/>
      <c r="D27" s="36" t="s">
        <v>211</v>
      </c>
      <c r="E27" s="36" t="s">
        <v>212</v>
      </c>
      <c r="F27" s="135"/>
      <c r="G27" s="136"/>
    </row>
    <row r="28" spans="1:7" x14ac:dyDescent="0.25">
      <c r="A28" s="94"/>
      <c r="B28" s="94"/>
      <c r="C28" s="94"/>
      <c r="D28" s="45"/>
      <c r="E28" s="45" t="s">
        <v>213</v>
      </c>
      <c r="F28" s="135"/>
      <c r="G28" s="136"/>
    </row>
    <row r="29" spans="1:7" x14ac:dyDescent="0.25">
      <c r="A29" s="94"/>
      <c r="B29" s="94"/>
      <c r="C29" s="94"/>
      <c r="D29" s="55"/>
      <c r="E29" s="55" t="s">
        <v>214</v>
      </c>
      <c r="F29" s="135"/>
      <c r="G29" s="136"/>
    </row>
    <row r="30" spans="1:7" x14ac:dyDescent="0.25">
      <c r="A30" s="94"/>
      <c r="B30" s="94"/>
      <c r="C30" s="95"/>
      <c r="D30" s="36"/>
      <c r="E30" s="36" t="s">
        <v>215</v>
      </c>
      <c r="F30" s="137"/>
      <c r="G30" s="138"/>
    </row>
    <row r="31" spans="1:7" x14ac:dyDescent="0.25">
      <c r="A31" s="94"/>
      <c r="B31" s="94"/>
      <c r="C31" s="139" t="s">
        <v>216</v>
      </c>
      <c r="D31" s="45" t="s">
        <v>217</v>
      </c>
      <c r="E31" s="54">
        <v>0</v>
      </c>
      <c r="F31" s="133" t="s">
        <v>218</v>
      </c>
      <c r="G31" s="134"/>
    </row>
    <row r="32" spans="1:7" x14ac:dyDescent="0.25">
      <c r="A32" s="94"/>
      <c r="B32" s="94"/>
      <c r="C32" s="111"/>
      <c r="D32" s="45"/>
      <c r="E32" s="54">
        <v>4095</v>
      </c>
      <c r="F32" s="135"/>
      <c r="G32" s="136"/>
    </row>
    <row r="33" spans="1:7" x14ac:dyDescent="0.25">
      <c r="A33" s="94"/>
      <c r="B33" s="94"/>
      <c r="C33" s="111"/>
      <c r="D33" s="45"/>
      <c r="E33" s="54" t="s">
        <v>219</v>
      </c>
      <c r="F33" s="135"/>
      <c r="G33" s="136"/>
    </row>
    <row r="34" spans="1:7" x14ac:dyDescent="0.25">
      <c r="A34" s="94"/>
      <c r="B34" s="94"/>
      <c r="C34" s="111"/>
      <c r="D34" s="45"/>
      <c r="E34" s="54" t="s">
        <v>220</v>
      </c>
      <c r="F34" s="135"/>
      <c r="G34" s="136"/>
    </row>
    <row r="35" spans="1:7" x14ac:dyDescent="0.25">
      <c r="A35" s="94"/>
      <c r="B35" s="94"/>
      <c r="C35" s="111"/>
      <c r="D35" s="45"/>
      <c r="E35" s="45" t="s">
        <v>221</v>
      </c>
      <c r="F35" s="135"/>
      <c r="G35" s="136"/>
    </row>
    <row r="36" spans="1:7" x14ac:dyDescent="0.25">
      <c r="A36" s="94"/>
      <c r="B36" s="94"/>
      <c r="C36" s="111"/>
      <c r="D36" s="45"/>
      <c r="E36" s="45" t="s">
        <v>222</v>
      </c>
      <c r="F36" s="135"/>
      <c r="G36" s="136"/>
    </row>
    <row r="37" spans="1:7" x14ac:dyDescent="0.25">
      <c r="A37" s="94"/>
      <c r="B37" s="94"/>
      <c r="C37" s="111"/>
      <c r="D37" s="45"/>
      <c r="E37" s="45" t="s">
        <v>215</v>
      </c>
      <c r="F37" s="135"/>
      <c r="G37" s="136"/>
    </row>
    <row r="38" spans="1:7" x14ac:dyDescent="0.25">
      <c r="A38" s="94"/>
      <c r="B38" s="94"/>
      <c r="C38" s="111"/>
      <c r="D38" s="45"/>
      <c r="E38" s="45" t="s">
        <v>214</v>
      </c>
      <c r="F38" s="135"/>
      <c r="G38" s="136"/>
    </row>
    <row r="39" spans="1:7" x14ac:dyDescent="0.25">
      <c r="A39" s="94"/>
      <c r="B39" s="94"/>
      <c r="C39" s="112"/>
      <c r="D39" s="45"/>
      <c r="E39" s="45"/>
      <c r="F39" s="137"/>
      <c r="G39" s="138"/>
    </row>
    <row r="40" spans="1:7" x14ac:dyDescent="0.25">
      <c r="A40" s="94"/>
      <c r="B40" s="94"/>
      <c r="C40" s="139" t="s">
        <v>223</v>
      </c>
      <c r="D40" s="45" t="s">
        <v>224</v>
      </c>
      <c r="E40" s="54" t="s">
        <v>225</v>
      </c>
      <c r="F40" s="133" t="s">
        <v>226</v>
      </c>
      <c r="G40" s="134"/>
    </row>
    <row r="41" spans="1:7" x14ac:dyDescent="0.25">
      <c r="A41" s="94"/>
      <c r="B41" s="94"/>
      <c r="C41" s="111"/>
      <c r="D41" s="45" t="s">
        <v>227</v>
      </c>
      <c r="E41" s="54" t="s">
        <v>228</v>
      </c>
      <c r="F41" s="135"/>
      <c r="G41" s="136"/>
    </row>
    <row r="42" spans="1:7" x14ac:dyDescent="0.25">
      <c r="A42" s="94"/>
      <c r="B42" s="94"/>
      <c r="C42" s="111"/>
      <c r="D42" s="45" t="s">
        <v>214</v>
      </c>
      <c r="E42" s="64" t="s">
        <v>229</v>
      </c>
      <c r="F42" s="135"/>
      <c r="G42" s="136"/>
    </row>
    <row r="43" spans="1:7" x14ac:dyDescent="0.25">
      <c r="A43" s="94"/>
      <c r="B43" s="94"/>
      <c r="C43" s="111"/>
      <c r="D43" s="61" t="s">
        <v>230</v>
      </c>
      <c r="E43" s="54" t="s">
        <v>221</v>
      </c>
      <c r="F43" s="135"/>
      <c r="G43" s="136"/>
    </row>
    <row r="44" spans="1:7" x14ac:dyDescent="0.25">
      <c r="A44" s="94"/>
      <c r="B44" s="94"/>
      <c r="C44" s="111"/>
      <c r="D44" s="45"/>
      <c r="E44" s="54" t="s">
        <v>222</v>
      </c>
      <c r="F44" s="135"/>
      <c r="G44" s="136"/>
    </row>
    <row r="45" spans="1:7" x14ac:dyDescent="0.25">
      <c r="A45" s="94"/>
      <c r="B45" s="94"/>
      <c r="C45" s="111"/>
      <c r="D45" s="45"/>
      <c r="E45" s="45" t="s">
        <v>215</v>
      </c>
      <c r="F45" s="135"/>
      <c r="G45" s="136"/>
    </row>
    <row r="46" spans="1:7" x14ac:dyDescent="0.25">
      <c r="A46" s="94"/>
      <c r="B46" s="94"/>
      <c r="C46" s="112"/>
      <c r="D46" s="45"/>
      <c r="E46" s="45" t="s">
        <v>212</v>
      </c>
      <c r="F46" s="137"/>
      <c r="G46" s="138"/>
    </row>
    <row r="47" spans="1:7" x14ac:dyDescent="0.25">
      <c r="A47" s="94"/>
      <c r="B47" s="122" t="s">
        <v>231</v>
      </c>
      <c r="C47" s="115"/>
      <c r="D47" s="115"/>
      <c r="E47" s="115"/>
      <c r="F47" s="115"/>
      <c r="G47" s="116"/>
    </row>
    <row r="48" spans="1:7" x14ac:dyDescent="0.25">
      <c r="A48" s="94"/>
      <c r="B48" s="142" t="s">
        <v>232</v>
      </c>
      <c r="C48" s="56" t="s">
        <v>19</v>
      </c>
      <c r="D48" s="56" t="s">
        <v>233</v>
      </c>
      <c r="E48" s="56" t="s">
        <v>234</v>
      </c>
      <c r="F48" s="56" t="s">
        <v>235</v>
      </c>
      <c r="G48" s="56" t="s">
        <v>236</v>
      </c>
    </row>
    <row r="49" spans="1:7" ht="40.5" customHeight="1" x14ac:dyDescent="0.25">
      <c r="A49" s="94"/>
      <c r="B49" s="94"/>
      <c r="C49" s="140" t="s">
        <v>207</v>
      </c>
      <c r="D49" s="55" t="s">
        <v>208</v>
      </c>
      <c r="E49" s="55" t="s">
        <v>237</v>
      </c>
      <c r="F49" s="55" t="s">
        <v>238</v>
      </c>
      <c r="G49" s="55" t="s">
        <v>239</v>
      </c>
    </row>
    <row r="50" spans="1:7" ht="67.5" customHeight="1" x14ac:dyDescent="0.25">
      <c r="A50" s="94"/>
      <c r="B50" s="94"/>
      <c r="C50" s="94"/>
      <c r="D50" s="55" t="s">
        <v>211</v>
      </c>
      <c r="E50" s="55" t="s">
        <v>240</v>
      </c>
      <c r="F50" s="55" t="s">
        <v>241</v>
      </c>
      <c r="G50" s="55" t="s">
        <v>242</v>
      </c>
    </row>
    <row r="51" spans="1:7" ht="27" customHeight="1" x14ac:dyDescent="0.25">
      <c r="A51" s="94"/>
      <c r="B51" s="94"/>
      <c r="C51" s="94"/>
      <c r="D51" s="36" t="s">
        <v>243</v>
      </c>
      <c r="E51" s="55" t="s">
        <v>216</v>
      </c>
      <c r="F51" s="55" t="s">
        <v>244</v>
      </c>
      <c r="G51" s="55" t="s">
        <v>245</v>
      </c>
    </row>
    <row r="52" spans="1:7" x14ac:dyDescent="0.25">
      <c r="A52" s="94"/>
      <c r="B52" s="94"/>
      <c r="C52" s="113" t="s">
        <v>216</v>
      </c>
      <c r="D52" s="45" t="s">
        <v>217</v>
      </c>
      <c r="E52" s="55" t="s">
        <v>246</v>
      </c>
      <c r="F52" s="55"/>
      <c r="G52" s="55"/>
    </row>
    <row r="53" spans="1:7" ht="27" customHeight="1" x14ac:dyDescent="0.25">
      <c r="A53" s="94"/>
      <c r="B53" s="94"/>
      <c r="C53" s="95"/>
      <c r="D53" s="54" t="s">
        <v>247</v>
      </c>
      <c r="E53" s="55" t="s">
        <v>246</v>
      </c>
      <c r="F53" s="55"/>
      <c r="G53" s="55"/>
    </row>
    <row r="54" spans="1:7" x14ac:dyDescent="0.25">
      <c r="A54" s="94"/>
      <c r="B54" s="94"/>
      <c r="C54" s="113" t="s">
        <v>223</v>
      </c>
      <c r="D54" s="45" t="s">
        <v>224</v>
      </c>
      <c r="E54" s="55" t="s">
        <v>246</v>
      </c>
      <c r="F54" s="55"/>
      <c r="G54" s="55"/>
    </row>
    <row r="55" spans="1:7" x14ac:dyDescent="0.25">
      <c r="A55" s="94"/>
      <c r="B55" s="94"/>
      <c r="C55" s="94"/>
      <c r="D55" s="45" t="s">
        <v>227</v>
      </c>
      <c r="E55" s="55" t="s">
        <v>246</v>
      </c>
      <c r="F55" s="55"/>
      <c r="G55" s="55"/>
    </row>
    <row r="56" spans="1:7" x14ac:dyDescent="0.25">
      <c r="A56" s="94"/>
      <c r="B56" s="94"/>
      <c r="C56" s="94"/>
      <c r="D56" s="45" t="s">
        <v>214</v>
      </c>
      <c r="E56" s="55" t="s">
        <v>246</v>
      </c>
      <c r="F56" s="55"/>
      <c r="G56" s="55"/>
    </row>
    <row r="57" spans="1:7" ht="54" customHeight="1" x14ac:dyDescent="0.25">
      <c r="A57" s="94"/>
      <c r="B57" s="95"/>
      <c r="C57" s="95"/>
      <c r="D57" s="54" t="s">
        <v>248</v>
      </c>
      <c r="E57" s="55" t="s">
        <v>246</v>
      </c>
      <c r="F57" s="55"/>
      <c r="G57" s="55"/>
    </row>
    <row r="58" spans="1:7" x14ac:dyDescent="0.25">
      <c r="A58" s="94"/>
      <c r="B58" s="123" t="s">
        <v>249</v>
      </c>
      <c r="C58" s="88"/>
      <c r="D58" s="88"/>
      <c r="E58" s="88"/>
      <c r="F58" s="88"/>
      <c r="G58" s="89"/>
    </row>
    <row r="59" spans="1:7" x14ac:dyDescent="0.25">
      <c r="A59" s="94"/>
      <c r="B59" s="63" t="s">
        <v>124</v>
      </c>
      <c r="C59" s="123" t="s">
        <v>125</v>
      </c>
      <c r="D59" s="88"/>
      <c r="E59" s="89"/>
      <c r="F59" s="34" t="s">
        <v>126</v>
      </c>
      <c r="G59" s="34" t="s">
        <v>127</v>
      </c>
    </row>
    <row r="60" spans="1:7" ht="27" customHeight="1" x14ac:dyDescent="0.25">
      <c r="A60" s="94"/>
      <c r="B60" s="20" t="s">
        <v>250</v>
      </c>
      <c r="C60" s="108" t="s">
        <v>251</v>
      </c>
      <c r="D60" s="88"/>
      <c r="E60" s="89"/>
      <c r="F60" s="17" t="s">
        <v>207</v>
      </c>
      <c r="G60" s="15" t="s">
        <v>245</v>
      </c>
    </row>
    <row r="61" spans="1:7" ht="27" customHeight="1" x14ac:dyDescent="0.25">
      <c r="A61" s="94"/>
      <c r="B61" s="20" t="s">
        <v>252</v>
      </c>
      <c r="C61" s="108" t="s">
        <v>253</v>
      </c>
      <c r="D61" s="88"/>
      <c r="E61" s="89"/>
      <c r="F61" s="51" t="s">
        <v>254</v>
      </c>
      <c r="G61" s="55" t="s">
        <v>255</v>
      </c>
    </row>
    <row r="62" spans="1:7" ht="27" customHeight="1" x14ac:dyDescent="0.25">
      <c r="A62" s="94"/>
      <c r="B62" s="20" t="s">
        <v>256</v>
      </c>
      <c r="C62" s="108" t="s">
        <v>257</v>
      </c>
      <c r="D62" s="88"/>
      <c r="E62" s="89"/>
      <c r="F62" s="51" t="s">
        <v>254</v>
      </c>
      <c r="G62" s="55" t="s">
        <v>258</v>
      </c>
    </row>
    <row r="63" spans="1:7" ht="67.5" customHeight="1" x14ac:dyDescent="0.25">
      <c r="A63" s="94"/>
      <c r="B63" s="20" t="s">
        <v>259</v>
      </c>
      <c r="C63" s="108" t="s">
        <v>260</v>
      </c>
      <c r="D63" s="88"/>
      <c r="E63" s="89"/>
      <c r="F63" s="17" t="s">
        <v>261</v>
      </c>
      <c r="G63" s="55" t="s">
        <v>242</v>
      </c>
    </row>
    <row r="64" spans="1:7" x14ac:dyDescent="0.25">
      <c r="A64" s="94"/>
      <c r="B64" s="109" t="s">
        <v>262</v>
      </c>
      <c r="C64" s="88"/>
      <c r="D64" s="88"/>
      <c r="E64" s="88"/>
      <c r="F64" s="88"/>
      <c r="G64" s="89"/>
    </row>
    <row r="65" spans="1:7" x14ac:dyDescent="0.25">
      <c r="A65" s="94"/>
      <c r="B65" s="21" t="s">
        <v>124</v>
      </c>
      <c r="C65" s="21" t="s">
        <v>138</v>
      </c>
      <c r="D65" s="21" t="s">
        <v>19</v>
      </c>
      <c r="E65" s="21" t="s">
        <v>139</v>
      </c>
      <c r="F65" s="21" t="s">
        <v>140</v>
      </c>
      <c r="G65" s="21" t="s">
        <v>141</v>
      </c>
    </row>
    <row r="66" spans="1:7" ht="27" customHeight="1" x14ac:dyDescent="0.25">
      <c r="A66" s="94"/>
      <c r="B66" s="18" t="s">
        <v>250</v>
      </c>
      <c r="C66" s="18" t="s">
        <v>263</v>
      </c>
      <c r="D66" s="40" t="s">
        <v>244</v>
      </c>
      <c r="E66" s="40" t="s">
        <v>264</v>
      </c>
      <c r="F66" s="18" t="s">
        <v>265</v>
      </c>
      <c r="G66" s="18" t="s">
        <v>266</v>
      </c>
    </row>
    <row r="67" spans="1:7" ht="40.5" customHeight="1" x14ac:dyDescent="0.25">
      <c r="A67" s="94"/>
      <c r="B67" s="18" t="s">
        <v>252</v>
      </c>
      <c r="C67" s="57" t="s">
        <v>267</v>
      </c>
      <c r="D67" s="57" t="s">
        <v>268</v>
      </c>
      <c r="E67" s="40" t="s">
        <v>264</v>
      </c>
      <c r="F67" s="57" t="s">
        <v>269</v>
      </c>
      <c r="G67" s="57" t="s">
        <v>270</v>
      </c>
    </row>
    <row r="68" spans="1:7" ht="40.5" customHeight="1" x14ac:dyDescent="0.25">
      <c r="A68" s="94"/>
      <c r="B68" s="18" t="s">
        <v>256</v>
      </c>
      <c r="C68" s="57" t="s">
        <v>271</v>
      </c>
      <c r="D68" s="57" t="s">
        <v>268</v>
      </c>
      <c r="E68" s="40" t="s">
        <v>264</v>
      </c>
      <c r="F68" s="57" t="s">
        <v>272</v>
      </c>
      <c r="G68" s="57" t="s">
        <v>270</v>
      </c>
    </row>
    <row r="69" spans="1:7" ht="94.5" customHeight="1" x14ac:dyDescent="0.25">
      <c r="A69" s="128"/>
      <c r="B69" s="18" t="s">
        <v>259</v>
      </c>
      <c r="C69" s="18" t="s">
        <v>273</v>
      </c>
      <c r="D69" s="57" t="s">
        <v>274</v>
      </c>
      <c r="E69" s="40" t="s">
        <v>264</v>
      </c>
      <c r="F69" s="18" t="s">
        <v>275</v>
      </c>
      <c r="G69" s="57" t="s">
        <v>270</v>
      </c>
    </row>
    <row r="70" spans="1:7" x14ac:dyDescent="0.25">
      <c r="A70" s="110" t="s">
        <v>42</v>
      </c>
      <c r="B70" s="107" t="s">
        <v>122</v>
      </c>
      <c r="C70" s="80"/>
      <c r="D70" s="80"/>
      <c r="E70" s="80"/>
      <c r="F70" s="80"/>
      <c r="G70" s="81"/>
    </row>
    <row r="71" spans="1:7" x14ac:dyDescent="0.25">
      <c r="A71" s="111"/>
      <c r="B71" s="105" t="s">
        <v>123</v>
      </c>
      <c r="C71" s="80"/>
      <c r="D71" s="80"/>
      <c r="E71" s="80"/>
      <c r="F71" s="80"/>
      <c r="G71" s="81"/>
    </row>
    <row r="72" spans="1:7" x14ac:dyDescent="0.25">
      <c r="A72" s="111"/>
      <c r="B72" s="66" t="s">
        <v>124</v>
      </c>
      <c r="C72" s="105" t="s">
        <v>125</v>
      </c>
      <c r="D72" s="80"/>
      <c r="E72" s="81"/>
      <c r="F72" s="39" t="s">
        <v>126</v>
      </c>
      <c r="G72" s="39" t="s">
        <v>127</v>
      </c>
    </row>
    <row r="73" spans="1:7" x14ac:dyDescent="0.25">
      <c r="A73" s="111"/>
      <c r="B73" s="20" t="s">
        <v>276</v>
      </c>
      <c r="C73" s="106" t="s">
        <v>277</v>
      </c>
      <c r="D73" s="80"/>
      <c r="E73" s="81"/>
      <c r="F73" s="42" t="s">
        <v>278</v>
      </c>
      <c r="G73" s="37" t="s">
        <v>278</v>
      </c>
    </row>
    <row r="74" spans="1:7" x14ac:dyDescent="0.25">
      <c r="A74" s="111"/>
      <c r="B74" s="20" t="s">
        <v>279</v>
      </c>
      <c r="C74" s="106" t="s">
        <v>280</v>
      </c>
      <c r="D74" s="80"/>
      <c r="E74" s="81"/>
      <c r="F74" s="42" t="s">
        <v>281</v>
      </c>
      <c r="G74" s="37" t="s">
        <v>281</v>
      </c>
    </row>
    <row r="75" spans="1:7" x14ac:dyDescent="0.25">
      <c r="A75" s="111"/>
      <c r="B75" s="20" t="s">
        <v>282</v>
      </c>
      <c r="C75" s="106" t="s">
        <v>283</v>
      </c>
      <c r="D75" s="80"/>
      <c r="E75" s="81"/>
      <c r="F75" s="42" t="s">
        <v>284</v>
      </c>
      <c r="G75" s="37" t="s">
        <v>284</v>
      </c>
    </row>
    <row r="76" spans="1:7" x14ac:dyDescent="0.25">
      <c r="A76" s="111"/>
      <c r="B76" s="104" t="s">
        <v>137</v>
      </c>
      <c r="C76" s="80"/>
      <c r="D76" s="80"/>
      <c r="E76" s="80"/>
      <c r="F76" s="80"/>
      <c r="G76" s="81"/>
    </row>
    <row r="77" spans="1:7" x14ac:dyDescent="0.25">
      <c r="A77" s="111"/>
      <c r="B77" s="38" t="s">
        <v>124</v>
      </c>
      <c r="C77" s="38" t="s">
        <v>138</v>
      </c>
      <c r="D77" s="38" t="s">
        <v>19</v>
      </c>
      <c r="E77" s="38" t="s">
        <v>139</v>
      </c>
      <c r="F77" s="38" t="s">
        <v>140</v>
      </c>
      <c r="G77" s="38" t="s">
        <v>141</v>
      </c>
    </row>
    <row r="78" spans="1:7" ht="67.5" customHeight="1" x14ac:dyDescent="0.25">
      <c r="A78" s="111"/>
      <c r="B78" s="40" t="s">
        <v>276</v>
      </c>
      <c r="C78" s="44" t="s">
        <v>285</v>
      </c>
      <c r="D78" s="44" t="s">
        <v>286</v>
      </c>
      <c r="E78" s="44" t="s">
        <v>287</v>
      </c>
      <c r="F78" s="44" t="s">
        <v>288</v>
      </c>
      <c r="G78" s="44" t="s">
        <v>289</v>
      </c>
    </row>
    <row r="79" spans="1:7" ht="81" customHeight="1" x14ac:dyDescent="0.25">
      <c r="A79" s="111"/>
      <c r="B79" s="40" t="s">
        <v>279</v>
      </c>
      <c r="C79" s="44" t="s">
        <v>290</v>
      </c>
      <c r="D79" s="44" t="s">
        <v>291</v>
      </c>
      <c r="E79" s="44" t="s">
        <v>287</v>
      </c>
      <c r="F79" s="44" t="s">
        <v>292</v>
      </c>
      <c r="G79" s="44" t="s">
        <v>293</v>
      </c>
    </row>
    <row r="80" spans="1:7" ht="81" customHeight="1" x14ac:dyDescent="0.25">
      <c r="A80" s="112"/>
      <c r="B80" s="40" t="s">
        <v>282</v>
      </c>
      <c r="C80" s="44" t="s">
        <v>294</v>
      </c>
      <c r="D80" s="44" t="s">
        <v>295</v>
      </c>
      <c r="E80" s="44" t="s">
        <v>287</v>
      </c>
      <c r="F80" s="44" t="s">
        <v>296</v>
      </c>
      <c r="G80" s="44" t="s">
        <v>297</v>
      </c>
    </row>
    <row r="81" spans="1:7" x14ac:dyDescent="0.25">
      <c r="A81" s="110" t="s">
        <v>44</v>
      </c>
      <c r="B81" s="107" t="s">
        <v>122</v>
      </c>
      <c r="C81" s="80"/>
      <c r="D81" s="80"/>
      <c r="E81" s="80"/>
      <c r="F81" s="80"/>
      <c r="G81" s="81"/>
    </row>
    <row r="82" spans="1:7" x14ac:dyDescent="0.25">
      <c r="A82" s="111"/>
      <c r="B82" s="105" t="s">
        <v>123</v>
      </c>
      <c r="C82" s="80"/>
      <c r="D82" s="80"/>
      <c r="E82" s="80"/>
      <c r="F82" s="80"/>
      <c r="G82" s="81"/>
    </row>
    <row r="83" spans="1:7" x14ac:dyDescent="0.25">
      <c r="A83" s="111"/>
      <c r="B83" s="66" t="s">
        <v>124</v>
      </c>
      <c r="C83" s="105" t="s">
        <v>125</v>
      </c>
      <c r="D83" s="80"/>
      <c r="E83" s="81"/>
      <c r="F83" s="39" t="s">
        <v>126</v>
      </c>
      <c r="G83" s="39" t="s">
        <v>127</v>
      </c>
    </row>
    <row r="84" spans="1:7" x14ac:dyDescent="0.25">
      <c r="A84" s="111"/>
      <c r="B84" s="20" t="s">
        <v>298</v>
      </c>
      <c r="C84" s="106" t="s">
        <v>299</v>
      </c>
      <c r="D84" s="80"/>
      <c r="E84" s="81"/>
      <c r="F84" s="42" t="s">
        <v>278</v>
      </c>
      <c r="G84" s="37" t="s">
        <v>278</v>
      </c>
    </row>
    <row r="85" spans="1:7" x14ac:dyDescent="0.25">
      <c r="A85" s="111"/>
      <c r="B85" s="20" t="s">
        <v>300</v>
      </c>
      <c r="C85" s="106" t="s">
        <v>301</v>
      </c>
      <c r="D85" s="80"/>
      <c r="E85" s="81"/>
      <c r="F85" s="42" t="s">
        <v>281</v>
      </c>
      <c r="G85" s="37" t="s">
        <v>281</v>
      </c>
    </row>
    <row r="86" spans="1:7" x14ac:dyDescent="0.25">
      <c r="A86" s="111"/>
      <c r="B86" s="20" t="s">
        <v>302</v>
      </c>
      <c r="C86" s="106" t="s">
        <v>303</v>
      </c>
      <c r="D86" s="80"/>
      <c r="E86" s="81"/>
      <c r="F86" s="42" t="s">
        <v>284</v>
      </c>
      <c r="G86" s="37" t="s">
        <v>284</v>
      </c>
    </row>
    <row r="87" spans="1:7" x14ac:dyDescent="0.25">
      <c r="A87" s="111"/>
      <c r="B87" s="104" t="s">
        <v>137</v>
      </c>
      <c r="C87" s="80"/>
      <c r="D87" s="80"/>
      <c r="E87" s="80"/>
      <c r="F87" s="80"/>
      <c r="G87" s="81"/>
    </row>
    <row r="88" spans="1:7" x14ac:dyDescent="0.25">
      <c r="A88" s="111"/>
      <c r="B88" s="38" t="s">
        <v>124</v>
      </c>
      <c r="C88" s="38" t="s">
        <v>138</v>
      </c>
      <c r="D88" s="38" t="s">
        <v>19</v>
      </c>
      <c r="E88" s="38" t="s">
        <v>139</v>
      </c>
      <c r="F88" s="38" t="s">
        <v>140</v>
      </c>
      <c r="G88" s="38" t="s">
        <v>141</v>
      </c>
    </row>
    <row r="89" spans="1:7" ht="67.5" customHeight="1" x14ac:dyDescent="0.25">
      <c r="A89" s="111"/>
      <c r="B89" s="44" t="s">
        <v>298</v>
      </c>
      <c r="C89" s="44" t="s">
        <v>304</v>
      </c>
      <c r="D89" s="44" t="s">
        <v>305</v>
      </c>
      <c r="E89" s="44" t="s">
        <v>306</v>
      </c>
      <c r="F89" s="44" t="s">
        <v>307</v>
      </c>
      <c r="G89" s="44" t="s">
        <v>308</v>
      </c>
    </row>
    <row r="90" spans="1:7" ht="81" customHeight="1" x14ac:dyDescent="0.25">
      <c r="A90" s="111"/>
      <c r="B90" s="44" t="s">
        <v>300</v>
      </c>
      <c r="C90" s="44" t="s">
        <v>309</v>
      </c>
      <c r="D90" s="44" t="s">
        <v>310</v>
      </c>
      <c r="E90" s="44" t="s">
        <v>287</v>
      </c>
      <c r="F90" s="44" t="s">
        <v>311</v>
      </c>
      <c r="G90" s="44" t="s">
        <v>312</v>
      </c>
    </row>
    <row r="91" spans="1:7" ht="94.5" customHeight="1" x14ac:dyDescent="0.25">
      <c r="A91" s="112"/>
      <c r="B91" s="44" t="s">
        <v>302</v>
      </c>
      <c r="C91" s="44" t="s">
        <v>313</v>
      </c>
      <c r="D91" s="44" t="s">
        <v>314</v>
      </c>
      <c r="E91" s="44" t="s">
        <v>287</v>
      </c>
      <c r="F91" s="44" t="s">
        <v>315</v>
      </c>
      <c r="G91" s="44" t="s">
        <v>316</v>
      </c>
    </row>
    <row r="92" spans="1:7" x14ac:dyDescent="0.25">
      <c r="A92" s="110" t="s">
        <v>46</v>
      </c>
      <c r="B92" s="107" t="s">
        <v>122</v>
      </c>
      <c r="C92" s="80"/>
      <c r="D92" s="80"/>
      <c r="E92" s="80"/>
      <c r="F92" s="80"/>
      <c r="G92" s="81"/>
    </row>
    <row r="93" spans="1:7" x14ac:dyDescent="0.25">
      <c r="A93" s="111"/>
      <c r="B93" s="105" t="s">
        <v>123</v>
      </c>
      <c r="C93" s="80"/>
      <c r="D93" s="80"/>
      <c r="E93" s="80"/>
      <c r="F93" s="80"/>
      <c r="G93" s="81"/>
    </row>
    <row r="94" spans="1:7" x14ac:dyDescent="0.25">
      <c r="A94" s="111"/>
      <c r="B94" s="66" t="s">
        <v>124</v>
      </c>
      <c r="C94" s="105" t="s">
        <v>125</v>
      </c>
      <c r="D94" s="80"/>
      <c r="E94" s="81"/>
      <c r="F94" s="39" t="s">
        <v>126</v>
      </c>
      <c r="G94" s="39" t="s">
        <v>127</v>
      </c>
    </row>
    <row r="95" spans="1:7" x14ac:dyDescent="0.25">
      <c r="A95" s="111"/>
      <c r="B95" s="20" t="s">
        <v>317</v>
      </c>
      <c r="C95" s="106" t="s">
        <v>318</v>
      </c>
      <c r="D95" s="80"/>
      <c r="E95" s="81"/>
      <c r="F95" s="42" t="s">
        <v>278</v>
      </c>
      <c r="G95" s="37" t="s">
        <v>278</v>
      </c>
    </row>
    <row r="96" spans="1:7" x14ac:dyDescent="0.25">
      <c r="A96" s="111"/>
      <c r="B96" s="20" t="s">
        <v>319</v>
      </c>
      <c r="C96" s="106" t="s">
        <v>320</v>
      </c>
      <c r="D96" s="80"/>
      <c r="E96" s="81"/>
      <c r="F96" s="42" t="s">
        <v>281</v>
      </c>
      <c r="G96" s="37" t="s">
        <v>281</v>
      </c>
    </row>
    <row r="97" spans="1:7" x14ac:dyDescent="0.25">
      <c r="A97" s="111"/>
      <c r="B97" s="20" t="s">
        <v>321</v>
      </c>
      <c r="C97" s="106" t="s">
        <v>322</v>
      </c>
      <c r="D97" s="80"/>
      <c r="E97" s="81"/>
      <c r="F97" s="42" t="s">
        <v>284</v>
      </c>
      <c r="G97" s="37" t="s">
        <v>284</v>
      </c>
    </row>
    <row r="98" spans="1:7" x14ac:dyDescent="0.25">
      <c r="A98" s="111"/>
      <c r="B98" s="104" t="s">
        <v>137</v>
      </c>
      <c r="C98" s="80"/>
      <c r="D98" s="80"/>
      <c r="E98" s="80"/>
      <c r="F98" s="80"/>
      <c r="G98" s="81"/>
    </row>
    <row r="99" spans="1:7" x14ac:dyDescent="0.25">
      <c r="A99" s="111"/>
      <c r="B99" s="38" t="s">
        <v>124</v>
      </c>
      <c r="C99" s="38" t="s">
        <v>138</v>
      </c>
      <c r="D99" s="38" t="s">
        <v>19</v>
      </c>
      <c r="E99" s="38" t="s">
        <v>139</v>
      </c>
      <c r="F99" s="38" t="s">
        <v>140</v>
      </c>
      <c r="G99" s="38" t="s">
        <v>141</v>
      </c>
    </row>
    <row r="100" spans="1:7" ht="67.5" customHeight="1" x14ac:dyDescent="0.25">
      <c r="A100" s="111"/>
      <c r="B100" s="40" t="s">
        <v>317</v>
      </c>
      <c r="C100" s="40" t="s">
        <v>323</v>
      </c>
      <c r="D100" s="44" t="s">
        <v>286</v>
      </c>
      <c r="E100" s="44" t="s">
        <v>324</v>
      </c>
      <c r="F100" s="44" t="s">
        <v>325</v>
      </c>
      <c r="G100" s="44" t="s">
        <v>326</v>
      </c>
    </row>
    <row r="101" spans="1:7" ht="148.5" customHeight="1" x14ac:dyDescent="0.25">
      <c r="A101" s="111"/>
      <c r="B101" s="40" t="s">
        <v>319</v>
      </c>
      <c r="C101" s="44" t="s">
        <v>327</v>
      </c>
      <c r="D101" s="44" t="s">
        <v>328</v>
      </c>
      <c r="E101" s="44" t="s">
        <v>324</v>
      </c>
      <c r="F101" s="44" t="s">
        <v>329</v>
      </c>
      <c r="G101" s="44" t="s">
        <v>330</v>
      </c>
    </row>
    <row r="102" spans="1:7" ht="148.5" customHeight="1" x14ac:dyDescent="0.25">
      <c r="A102" s="112"/>
      <c r="B102" s="40" t="s">
        <v>321</v>
      </c>
      <c r="C102" s="44" t="s">
        <v>331</v>
      </c>
      <c r="D102" s="44" t="s">
        <v>332</v>
      </c>
      <c r="E102" s="44" t="s">
        <v>324</v>
      </c>
      <c r="F102" s="44" t="s">
        <v>333</v>
      </c>
      <c r="G102" s="44" t="s">
        <v>334</v>
      </c>
    </row>
    <row r="103" spans="1:7" x14ac:dyDescent="0.25">
      <c r="A103" s="110" t="s">
        <v>48</v>
      </c>
      <c r="B103" s="107" t="s">
        <v>122</v>
      </c>
      <c r="C103" s="80"/>
      <c r="D103" s="80"/>
      <c r="E103" s="80"/>
      <c r="F103" s="80"/>
      <c r="G103" s="81"/>
    </row>
    <row r="104" spans="1:7" x14ac:dyDescent="0.25">
      <c r="A104" s="111"/>
      <c r="B104" s="105" t="s">
        <v>123</v>
      </c>
      <c r="C104" s="80"/>
      <c r="D104" s="80"/>
      <c r="E104" s="80"/>
      <c r="F104" s="80"/>
      <c r="G104" s="81"/>
    </row>
    <row r="105" spans="1:7" x14ac:dyDescent="0.25">
      <c r="A105" s="111"/>
      <c r="B105" s="66" t="s">
        <v>124</v>
      </c>
      <c r="C105" s="105" t="s">
        <v>125</v>
      </c>
      <c r="D105" s="80"/>
      <c r="E105" s="81"/>
      <c r="F105" s="39" t="s">
        <v>126</v>
      </c>
      <c r="G105" s="39" t="s">
        <v>127</v>
      </c>
    </row>
    <row r="106" spans="1:7" x14ac:dyDescent="0.25">
      <c r="A106" s="111"/>
      <c r="B106" s="20" t="s">
        <v>335</v>
      </c>
      <c r="C106" s="106" t="s">
        <v>336</v>
      </c>
      <c r="D106" s="80"/>
      <c r="E106" s="81"/>
      <c r="F106" s="42" t="s">
        <v>278</v>
      </c>
      <c r="G106" s="37" t="s">
        <v>278</v>
      </c>
    </row>
    <row r="107" spans="1:7" x14ac:dyDescent="0.25">
      <c r="A107" s="111"/>
      <c r="B107" s="20" t="s">
        <v>337</v>
      </c>
      <c r="C107" s="106" t="s">
        <v>338</v>
      </c>
      <c r="D107" s="80"/>
      <c r="E107" s="81"/>
      <c r="F107" s="42" t="s">
        <v>281</v>
      </c>
      <c r="G107" s="37" t="s">
        <v>281</v>
      </c>
    </row>
    <row r="108" spans="1:7" x14ac:dyDescent="0.25">
      <c r="A108" s="111"/>
      <c r="B108" s="20" t="s">
        <v>339</v>
      </c>
      <c r="C108" s="106" t="s">
        <v>340</v>
      </c>
      <c r="D108" s="80"/>
      <c r="E108" s="81"/>
      <c r="F108" s="42" t="s">
        <v>284</v>
      </c>
      <c r="G108" s="37" t="s">
        <v>284</v>
      </c>
    </row>
    <row r="109" spans="1:7" x14ac:dyDescent="0.25">
      <c r="A109" s="111"/>
      <c r="B109" s="104" t="s">
        <v>137</v>
      </c>
      <c r="C109" s="80"/>
      <c r="D109" s="80"/>
      <c r="E109" s="80"/>
      <c r="F109" s="80"/>
      <c r="G109" s="81"/>
    </row>
    <row r="110" spans="1:7" x14ac:dyDescent="0.25">
      <c r="A110" s="111"/>
      <c r="B110" s="38" t="s">
        <v>124</v>
      </c>
      <c r="C110" s="38" t="s">
        <v>138</v>
      </c>
      <c r="D110" s="38" t="s">
        <v>19</v>
      </c>
      <c r="E110" s="38" t="s">
        <v>139</v>
      </c>
      <c r="F110" s="38" t="s">
        <v>140</v>
      </c>
      <c r="G110" s="38" t="s">
        <v>141</v>
      </c>
    </row>
    <row r="111" spans="1:7" ht="67.5" customHeight="1" x14ac:dyDescent="0.25">
      <c r="A111" s="111"/>
      <c r="B111" s="40" t="s">
        <v>335</v>
      </c>
      <c r="C111" s="40" t="s">
        <v>341</v>
      </c>
      <c r="D111" s="40" t="s">
        <v>305</v>
      </c>
      <c r="E111" s="44" t="s">
        <v>342</v>
      </c>
      <c r="F111" s="44" t="s">
        <v>307</v>
      </c>
      <c r="G111" s="44" t="s">
        <v>308</v>
      </c>
    </row>
    <row r="112" spans="1:7" ht="135" customHeight="1" x14ac:dyDescent="0.25">
      <c r="A112" s="111"/>
      <c r="B112" s="40" t="s">
        <v>337</v>
      </c>
      <c r="C112" s="44" t="s">
        <v>343</v>
      </c>
      <c r="D112" s="44" t="s">
        <v>344</v>
      </c>
      <c r="E112" s="44" t="s">
        <v>324</v>
      </c>
      <c r="F112" s="44" t="s">
        <v>345</v>
      </c>
      <c r="G112" s="44" t="s">
        <v>346</v>
      </c>
    </row>
    <row r="113" spans="1:7" ht="135" customHeight="1" x14ac:dyDescent="0.25">
      <c r="A113" s="112"/>
      <c r="B113" s="40" t="s">
        <v>339</v>
      </c>
      <c r="C113" s="44" t="s">
        <v>347</v>
      </c>
      <c r="D113" s="44" t="s">
        <v>348</v>
      </c>
      <c r="E113" s="44" t="s">
        <v>324</v>
      </c>
      <c r="F113" s="44" t="s">
        <v>349</v>
      </c>
      <c r="G113" s="44" t="s">
        <v>350</v>
      </c>
    </row>
    <row r="114" spans="1:7" x14ac:dyDescent="0.25">
      <c r="A114" s="127" t="s">
        <v>50</v>
      </c>
      <c r="B114" s="121" t="s">
        <v>122</v>
      </c>
      <c r="C114" s="88"/>
      <c r="D114" s="88"/>
      <c r="E114" s="88"/>
      <c r="F114" s="88"/>
      <c r="G114" s="89"/>
    </row>
    <row r="115" spans="1:7" x14ac:dyDescent="0.25">
      <c r="A115" s="94"/>
      <c r="B115" s="123" t="s">
        <v>123</v>
      </c>
      <c r="C115" s="88"/>
      <c r="D115" s="88"/>
      <c r="E115" s="88"/>
      <c r="F115" s="88"/>
      <c r="G115" s="89"/>
    </row>
    <row r="116" spans="1:7" x14ac:dyDescent="0.25">
      <c r="A116" s="94"/>
      <c r="B116" s="63" t="s">
        <v>124</v>
      </c>
      <c r="C116" s="123" t="s">
        <v>125</v>
      </c>
      <c r="D116" s="88"/>
      <c r="E116" s="89"/>
      <c r="F116" s="34" t="s">
        <v>126</v>
      </c>
      <c r="G116" s="34" t="s">
        <v>127</v>
      </c>
    </row>
    <row r="117" spans="1:7" x14ac:dyDescent="0.25">
      <c r="A117" s="94"/>
      <c r="B117" s="20" t="s">
        <v>351</v>
      </c>
      <c r="C117" s="106" t="s">
        <v>50</v>
      </c>
      <c r="D117" s="80"/>
      <c r="E117" s="81"/>
      <c r="F117" s="17" t="s">
        <v>170</v>
      </c>
      <c r="G117" s="37" t="s">
        <v>208</v>
      </c>
    </row>
    <row r="118" spans="1:7" x14ac:dyDescent="0.25">
      <c r="A118" s="94"/>
      <c r="B118" s="109" t="s">
        <v>137</v>
      </c>
      <c r="C118" s="88"/>
      <c r="D118" s="88"/>
      <c r="E118" s="88"/>
      <c r="F118" s="88"/>
      <c r="G118" s="89"/>
    </row>
    <row r="119" spans="1:7" x14ac:dyDescent="0.25">
      <c r="A119" s="94"/>
      <c r="B119" s="21" t="s">
        <v>124</v>
      </c>
      <c r="C119" s="21" t="s">
        <v>138</v>
      </c>
      <c r="D119" s="21" t="s">
        <v>19</v>
      </c>
      <c r="E119" s="21" t="s">
        <v>139</v>
      </c>
      <c r="F119" s="21" t="s">
        <v>140</v>
      </c>
      <c r="G119" s="21" t="s">
        <v>141</v>
      </c>
    </row>
    <row r="120" spans="1:7" ht="108" customHeight="1" x14ac:dyDescent="0.25">
      <c r="A120" s="128"/>
      <c r="B120" s="40" t="s">
        <v>351</v>
      </c>
      <c r="C120" s="44" t="s">
        <v>50</v>
      </c>
      <c r="D120" s="44" t="s">
        <v>352</v>
      </c>
      <c r="E120" s="44" t="s">
        <v>353</v>
      </c>
      <c r="F120" s="18" t="s">
        <v>354</v>
      </c>
      <c r="G120" s="18" t="s">
        <v>355</v>
      </c>
    </row>
    <row r="121" spans="1:7" x14ac:dyDescent="0.25">
      <c r="A121" s="113" t="s">
        <v>52</v>
      </c>
      <c r="B121" s="121" t="s">
        <v>122</v>
      </c>
      <c r="C121" s="88"/>
      <c r="D121" s="88"/>
      <c r="E121" s="88"/>
      <c r="F121" s="88"/>
      <c r="G121" s="89"/>
    </row>
    <row r="122" spans="1:7" x14ac:dyDescent="0.25">
      <c r="A122" s="94"/>
      <c r="B122" s="123" t="s">
        <v>123</v>
      </c>
      <c r="C122" s="88"/>
      <c r="D122" s="88"/>
      <c r="E122" s="88"/>
      <c r="F122" s="88"/>
      <c r="G122" s="89"/>
    </row>
    <row r="123" spans="1:7" x14ac:dyDescent="0.25">
      <c r="A123" s="94"/>
      <c r="B123" s="63" t="s">
        <v>124</v>
      </c>
      <c r="C123" s="123" t="s">
        <v>125</v>
      </c>
      <c r="D123" s="88"/>
      <c r="E123" s="89"/>
      <c r="F123" s="34" t="s">
        <v>126</v>
      </c>
      <c r="G123" s="34" t="s">
        <v>127</v>
      </c>
    </row>
    <row r="124" spans="1:7" x14ac:dyDescent="0.25">
      <c r="A124" s="94"/>
      <c r="B124" s="20" t="s">
        <v>356</v>
      </c>
      <c r="C124" s="108" t="s">
        <v>357</v>
      </c>
      <c r="D124" s="88"/>
      <c r="E124" s="89"/>
      <c r="F124" s="17" t="s">
        <v>170</v>
      </c>
      <c r="G124" s="15" t="s">
        <v>358</v>
      </c>
    </row>
    <row r="125" spans="1:7" x14ac:dyDescent="0.25">
      <c r="A125" s="94"/>
      <c r="B125" s="20" t="s">
        <v>359</v>
      </c>
      <c r="C125" s="108" t="s">
        <v>360</v>
      </c>
      <c r="D125" s="88"/>
      <c r="E125" s="89"/>
      <c r="F125" s="17"/>
      <c r="G125" s="15" t="s">
        <v>361</v>
      </c>
    </row>
    <row r="126" spans="1:7" x14ac:dyDescent="0.25">
      <c r="A126" s="94"/>
      <c r="B126" s="109" t="s">
        <v>137</v>
      </c>
      <c r="C126" s="88"/>
      <c r="D126" s="88"/>
      <c r="E126" s="88"/>
      <c r="F126" s="88"/>
      <c r="G126" s="89"/>
    </row>
    <row r="127" spans="1:7" x14ac:dyDescent="0.25">
      <c r="A127" s="94"/>
      <c r="B127" s="21" t="s">
        <v>124</v>
      </c>
      <c r="C127" s="21" t="s">
        <v>138</v>
      </c>
      <c r="D127" s="21" t="s">
        <v>19</v>
      </c>
      <c r="E127" s="21" t="s">
        <v>139</v>
      </c>
      <c r="F127" s="21" t="s">
        <v>140</v>
      </c>
      <c r="G127" s="21" t="s">
        <v>141</v>
      </c>
    </row>
    <row r="128" spans="1:7" ht="121.5" customHeight="1" x14ac:dyDescent="0.25">
      <c r="A128" s="94"/>
      <c r="B128" s="18" t="s">
        <v>356</v>
      </c>
      <c r="C128" s="18" t="s">
        <v>357</v>
      </c>
      <c r="D128" s="18" t="s">
        <v>362</v>
      </c>
      <c r="E128" s="44" t="s">
        <v>353</v>
      </c>
      <c r="F128" s="18" t="s">
        <v>363</v>
      </c>
      <c r="G128" s="18" t="s">
        <v>355</v>
      </c>
    </row>
    <row r="129" spans="1:7" ht="135" customHeight="1" x14ac:dyDescent="0.25">
      <c r="A129" s="95"/>
      <c r="B129" s="18" t="s">
        <v>359</v>
      </c>
      <c r="C129" s="18" t="s">
        <v>360</v>
      </c>
      <c r="D129" s="18" t="s">
        <v>364</v>
      </c>
      <c r="E129" s="44" t="s">
        <v>353</v>
      </c>
      <c r="F129" s="18" t="s">
        <v>365</v>
      </c>
      <c r="G129" s="18" t="s">
        <v>366</v>
      </c>
    </row>
    <row r="130" spans="1:7" x14ac:dyDescent="0.25">
      <c r="A130" s="113" t="s">
        <v>54</v>
      </c>
      <c r="B130" s="121" t="s">
        <v>122</v>
      </c>
      <c r="C130" s="88"/>
      <c r="D130" s="88"/>
      <c r="E130" s="88"/>
      <c r="F130" s="88"/>
      <c r="G130" s="89"/>
    </row>
    <row r="131" spans="1:7" x14ac:dyDescent="0.25">
      <c r="A131" s="94"/>
      <c r="B131" s="123" t="s">
        <v>123</v>
      </c>
      <c r="C131" s="88"/>
      <c r="D131" s="88"/>
      <c r="E131" s="88"/>
      <c r="F131" s="88"/>
      <c r="G131" s="89"/>
    </row>
    <row r="132" spans="1:7" x14ac:dyDescent="0.25">
      <c r="A132" s="94"/>
      <c r="B132" s="63" t="s">
        <v>124</v>
      </c>
      <c r="C132" s="123" t="s">
        <v>125</v>
      </c>
      <c r="D132" s="88"/>
      <c r="E132" s="89"/>
      <c r="F132" s="34" t="s">
        <v>126</v>
      </c>
      <c r="G132" s="34" t="s">
        <v>127</v>
      </c>
    </row>
    <row r="133" spans="1:7" x14ac:dyDescent="0.25">
      <c r="A133" s="94"/>
      <c r="B133" s="20" t="s">
        <v>367</v>
      </c>
      <c r="C133" s="108" t="s">
        <v>368</v>
      </c>
      <c r="D133" s="88"/>
      <c r="E133" s="89"/>
      <c r="F133" s="17" t="s">
        <v>170</v>
      </c>
      <c r="G133" s="15" t="s">
        <v>358</v>
      </c>
    </row>
    <row r="134" spans="1:7" x14ac:dyDescent="0.25">
      <c r="A134" s="94"/>
      <c r="B134" s="20" t="s">
        <v>369</v>
      </c>
      <c r="C134" s="108" t="s">
        <v>370</v>
      </c>
      <c r="D134" s="88"/>
      <c r="E134" s="89"/>
      <c r="F134" s="17"/>
      <c r="G134" s="15" t="s">
        <v>361</v>
      </c>
    </row>
    <row r="135" spans="1:7" x14ac:dyDescent="0.25">
      <c r="A135" s="94"/>
      <c r="B135" s="109" t="s">
        <v>137</v>
      </c>
      <c r="C135" s="88"/>
      <c r="D135" s="88"/>
      <c r="E135" s="88"/>
      <c r="F135" s="88"/>
      <c r="G135" s="89"/>
    </row>
    <row r="136" spans="1:7" x14ac:dyDescent="0.25">
      <c r="A136" s="94"/>
      <c r="B136" s="21" t="s">
        <v>124</v>
      </c>
      <c r="C136" s="21" t="s">
        <v>138</v>
      </c>
      <c r="D136" s="21" t="s">
        <v>19</v>
      </c>
      <c r="E136" s="21" t="s">
        <v>139</v>
      </c>
      <c r="F136" s="21" t="s">
        <v>140</v>
      </c>
      <c r="G136" s="21" t="s">
        <v>141</v>
      </c>
    </row>
    <row r="137" spans="1:7" ht="81" customHeight="1" x14ac:dyDescent="0.25">
      <c r="A137" s="94"/>
      <c r="B137" s="40" t="s">
        <v>367</v>
      </c>
      <c r="C137" s="44" t="s">
        <v>368</v>
      </c>
      <c r="D137" s="44" t="s">
        <v>371</v>
      </c>
      <c r="E137" s="44" t="s">
        <v>372</v>
      </c>
      <c r="F137" s="44" t="s">
        <v>373</v>
      </c>
      <c r="G137" s="44" t="s">
        <v>374</v>
      </c>
    </row>
    <row r="138" spans="1:7" ht="121.5" customHeight="1" x14ac:dyDescent="0.25">
      <c r="A138" s="95"/>
      <c r="B138" s="40" t="s">
        <v>369</v>
      </c>
      <c r="C138" s="58" t="s">
        <v>370</v>
      </c>
      <c r="D138" s="44" t="s">
        <v>375</v>
      </c>
      <c r="E138" s="44" t="s">
        <v>372</v>
      </c>
      <c r="F138" s="44" t="s">
        <v>376</v>
      </c>
      <c r="G138" s="44" t="s">
        <v>377</v>
      </c>
    </row>
    <row r="139" spans="1:7" x14ac:dyDescent="0.25">
      <c r="A139" s="127" t="s">
        <v>56</v>
      </c>
      <c r="B139" s="121" t="s">
        <v>122</v>
      </c>
      <c r="C139" s="88"/>
      <c r="D139" s="88"/>
      <c r="E139" s="88"/>
      <c r="F139" s="88"/>
      <c r="G139" s="89"/>
    </row>
    <row r="140" spans="1:7" x14ac:dyDescent="0.25">
      <c r="A140" s="94"/>
      <c r="B140" s="123" t="s">
        <v>123</v>
      </c>
      <c r="C140" s="88"/>
      <c r="D140" s="88"/>
      <c r="E140" s="88"/>
      <c r="F140" s="88"/>
      <c r="G140" s="89"/>
    </row>
    <row r="141" spans="1:7" x14ac:dyDescent="0.25">
      <c r="A141" s="94"/>
      <c r="B141" s="63" t="s">
        <v>124</v>
      </c>
      <c r="C141" s="123" t="s">
        <v>125</v>
      </c>
      <c r="D141" s="88"/>
      <c r="E141" s="89"/>
      <c r="F141" s="34" t="s">
        <v>126</v>
      </c>
      <c r="G141" s="34" t="s">
        <v>127</v>
      </c>
    </row>
    <row r="142" spans="1:7" x14ac:dyDescent="0.25">
      <c r="A142" s="94"/>
      <c r="B142" s="20" t="s">
        <v>378</v>
      </c>
      <c r="C142" s="108" t="s">
        <v>379</v>
      </c>
      <c r="D142" s="88"/>
      <c r="E142" s="89"/>
      <c r="F142" s="17" t="s">
        <v>170</v>
      </c>
      <c r="G142" s="15"/>
    </row>
    <row r="143" spans="1:7" x14ac:dyDescent="0.25">
      <c r="A143" s="94"/>
      <c r="B143" s="20" t="s">
        <v>380</v>
      </c>
      <c r="C143" s="108" t="s">
        <v>381</v>
      </c>
      <c r="D143" s="88"/>
      <c r="E143" s="89"/>
      <c r="F143" s="17"/>
      <c r="G143" s="15"/>
    </row>
    <row r="144" spans="1:7" x14ac:dyDescent="0.25">
      <c r="A144" s="94"/>
      <c r="B144" s="20" t="s">
        <v>382</v>
      </c>
      <c r="C144" s="108" t="s">
        <v>383</v>
      </c>
      <c r="D144" s="88"/>
      <c r="E144" s="89"/>
      <c r="F144" s="17"/>
      <c r="G144" s="15"/>
    </row>
    <row r="145" spans="1:7" x14ac:dyDescent="0.25">
      <c r="A145" s="94"/>
      <c r="B145" s="109" t="s">
        <v>137</v>
      </c>
      <c r="C145" s="88"/>
      <c r="D145" s="88"/>
      <c r="E145" s="88"/>
      <c r="F145" s="88"/>
      <c r="G145" s="89"/>
    </row>
    <row r="146" spans="1:7" x14ac:dyDescent="0.25">
      <c r="A146" s="94"/>
      <c r="B146" s="21" t="s">
        <v>124</v>
      </c>
      <c r="C146" s="21" t="s">
        <v>138</v>
      </c>
      <c r="D146" s="21" t="s">
        <v>19</v>
      </c>
      <c r="E146" s="21" t="s">
        <v>139</v>
      </c>
      <c r="F146" s="21" t="s">
        <v>140</v>
      </c>
      <c r="G146" s="21" t="s">
        <v>141</v>
      </c>
    </row>
    <row r="147" spans="1:7" ht="81" customHeight="1" x14ac:dyDescent="0.25">
      <c r="A147" s="94"/>
      <c r="B147" s="40" t="s">
        <v>378</v>
      </c>
      <c r="C147" s="40" t="s">
        <v>379</v>
      </c>
      <c r="D147" s="40" t="s">
        <v>384</v>
      </c>
      <c r="E147" s="44" t="s">
        <v>372</v>
      </c>
      <c r="F147" s="40" t="s">
        <v>385</v>
      </c>
      <c r="G147" s="40" t="s">
        <v>386</v>
      </c>
    </row>
    <row r="148" spans="1:7" ht="108" customHeight="1" x14ac:dyDescent="0.25">
      <c r="A148" s="94"/>
      <c r="B148" s="40" t="s">
        <v>380</v>
      </c>
      <c r="C148" s="40" t="s">
        <v>381</v>
      </c>
      <c r="D148" s="40" t="s">
        <v>387</v>
      </c>
      <c r="E148" s="44" t="s">
        <v>353</v>
      </c>
      <c r="F148" s="18" t="s">
        <v>388</v>
      </c>
      <c r="G148" s="40" t="s">
        <v>389</v>
      </c>
    </row>
    <row r="149" spans="1:7" ht="135" customHeight="1" x14ac:dyDescent="0.25">
      <c r="A149" s="128"/>
      <c r="B149" s="40" t="s">
        <v>382</v>
      </c>
      <c r="C149" s="44" t="s">
        <v>383</v>
      </c>
      <c r="D149" s="44" t="s">
        <v>390</v>
      </c>
      <c r="E149" s="44" t="s">
        <v>353</v>
      </c>
      <c r="F149" s="44" t="s">
        <v>391</v>
      </c>
      <c r="G149" s="44" t="s">
        <v>392</v>
      </c>
    </row>
    <row r="150" spans="1:7" x14ac:dyDescent="0.25">
      <c r="A150" s="113" t="s">
        <v>58</v>
      </c>
      <c r="B150" s="107" t="s">
        <v>122</v>
      </c>
      <c r="C150" s="80"/>
      <c r="D150" s="80"/>
      <c r="E150" s="80"/>
      <c r="F150" s="80"/>
      <c r="G150" s="81"/>
    </row>
    <row r="151" spans="1:7" x14ac:dyDescent="0.25">
      <c r="A151" s="94"/>
      <c r="B151" s="105" t="s">
        <v>123</v>
      </c>
      <c r="C151" s="80"/>
      <c r="D151" s="80"/>
      <c r="E151" s="80"/>
      <c r="F151" s="80"/>
      <c r="G151" s="81"/>
    </row>
    <row r="152" spans="1:7" x14ac:dyDescent="0.25">
      <c r="A152" s="94"/>
      <c r="B152" s="66" t="s">
        <v>124</v>
      </c>
      <c r="C152" s="105" t="s">
        <v>125</v>
      </c>
      <c r="D152" s="80"/>
      <c r="E152" s="81"/>
      <c r="F152" s="39" t="s">
        <v>126</v>
      </c>
      <c r="G152" s="39" t="s">
        <v>127</v>
      </c>
    </row>
    <row r="153" spans="1:7" x14ac:dyDescent="0.25">
      <c r="A153" s="94"/>
      <c r="B153" s="41" t="s">
        <v>393</v>
      </c>
      <c r="C153" s="106" t="s">
        <v>58</v>
      </c>
      <c r="D153" s="80"/>
      <c r="E153" s="81"/>
      <c r="F153" s="42" t="s">
        <v>394</v>
      </c>
      <c r="G153" s="37" t="s">
        <v>395</v>
      </c>
    </row>
    <row r="154" spans="1:7" x14ac:dyDescent="0.25">
      <c r="A154" s="94"/>
      <c r="B154" s="104" t="s">
        <v>137</v>
      </c>
      <c r="C154" s="80"/>
      <c r="D154" s="80"/>
      <c r="E154" s="80"/>
      <c r="F154" s="80"/>
      <c r="G154" s="81"/>
    </row>
    <row r="155" spans="1:7" x14ac:dyDescent="0.25">
      <c r="A155" s="94"/>
      <c r="B155" s="38" t="s">
        <v>124</v>
      </c>
      <c r="C155" s="38" t="s">
        <v>138</v>
      </c>
      <c r="D155" s="38" t="s">
        <v>19</v>
      </c>
      <c r="E155" s="38" t="s">
        <v>139</v>
      </c>
      <c r="F155" s="38" t="s">
        <v>140</v>
      </c>
      <c r="G155" s="38" t="s">
        <v>141</v>
      </c>
    </row>
    <row r="156" spans="1:7" ht="40.5" customHeight="1" x14ac:dyDescent="0.25">
      <c r="A156" s="94"/>
      <c r="B156" s="40" t="s">
        <v>393</v>
      </c>
      <c r="C156" s="40" t="s">
        <v>396</v>
      </c>
      <c r="D156" s="40" t="s">
        <v>397</v>
      </c>
      <c r="E156" s="44" t="s">
        <v>372</v>
      </c>
      <c r="F156" s="40" t="s">
        <v>398</v>
      </c>
      <c r="G156" s="40" t="s">
        <v>399</v>
      </c>
    </row>
    <row r="157" spans="1:7" ht="54" customHeight="1" x14ac:dyDescent="0.25">
      <c r="A157" s="95"/>
      <c r="B157" s="40" t="s">
        <v>400</v>
      </c>
      <c r="C157" s="40" t="s">
        <v>401</v>
      </c>
      <c r="D157" s="40" t="s">
        <v>397</v>
      </c>
      <c r="E157" s="44" t="s">
        <v>372</v>
      </c>
      <c r="F157" s="40" t="s">
        <v>402</v>
      </c>
      <c r="G157" s="40" t="s">
        <v>399</v>
      </c>
    </row>
    <row r="158" spans="1:7" x14ac:dyDescent="0.25">
      <c r="A158" s="113" t="s">
        <v>60</v>
      </c>
      <c r="B158" s="107" t="s">
        <v>122</v>
      </c>
      <c r="C158" s="80"/>
      <c r="D158" s="80"/>
      <c r="E158" s="80"/>
      <c r="F158" s="80"/>
      <c r="G158" s="81"/>
    </row>
    <row r="159" spans="1:7" x14ac:dyDescent="0.25">
      <c r="A159" s="94"/>
      <c r="B159" s="105" t="s">
        <v>123</v>
      </c>
      <c r="C159" s="80"/>
      <c r="D159" s="80"/>
      <c r="E159" s="80"/>
      <c r="F159" s="80"/>
      <c r="G159" s="81"/>
    </row>
    <row r="160" spans="1:7" x14ac:dyDescent="0.25">
      <c r="A160" s="94"/>
      <c r="B160" s="66" t="s">
        <v>124</v>
      </c>
      <c r="C160" s="105" t="s">
        <v>125</v>
      </c>
      <c r="D160" s="80"/>
      <c r="E160" s="81"/>
      <c r="F160" s="39" t="s">
        <v>126</v>
      </c>
      <c r="G160" s="39" t="s">
        <v>127</v>
      </c>
    </row>
    <row r="161" spans="1:7" x14ac:dyDescent="0.25">
      <c r="A161" s="94"/>
      <c r="B161" s="41" t="s">
        <v>403</v>
      </c>
      <c r="C161" s="106" t="s">
        <v>404</v>
      </c>
      <c r="D161" s="80"/>
      <c r="E161" s="81"/>
      <c r="F161" s="42"/>
      <c r="G161" s="37" t="s">
        <v>211</v>
      </c>
    </row>
    <row r="162" spans="1:7" x14ac:dyDescent="0.25">
      <c r="A162" s="94"/>
      <c r="B162" s="41" t="s">
        <v>405</v>
      </c>
      <c r="C162" s="106" t="s">
        <v>406</v>
      </c>
      <c r="D162" s="80"/>
      <c r="E162" s="81"/>
      <c r="F162" s="42"/>
      <c r="G162" s="37"/>
    </row>
    <row r="163" spans="1:7" x14ac:dyDescent="0.25">
      <c r="A163" s="94"/>
      <c r="B163" s="104" t="s">
        <v>137</v>
      </c>
      <c r="C163" s="80"/>
      <c r="D163" s="80"/>
      <c r="E163" s="80"/>
      <c r="F163" s="80"/>
      <c r="G163" s="81"/>
    </row>
    <row r="164" spans="1:7" x14ac:dyDescent="0.25">
      <c r="A164" s="94"/>
      <c r="B164" s="38" t="s">
        <v>124</v>
      </c>
      <c r="C164" s="38" t="s">
        <v>138</v>
      </c>
      <c r="D164" s="38" t="s">
        <v>19</v>
      </c>
      <c r="E164" s="38" t="s">
        <v>139</v>
      </c>
      <c r="F164" s="38" t="s">
        <v>140</v>
      </c>
      <c r="G164" s="38" t="s">
        <v>141</v>
      </c>
    </row>
    <row r="165" spans="1:7" ht="108" customHeight="1" x14ac:dyDescent="0.25">
      <c r="A165" s="94"/>
      <c r="B165" s="40" t="s">
        <v>403</v>
      </c>
      <c r="C165" s="40" t="s">
        <v>407</v>
      </c>
      <c r="D165" s="40" t="s">
        <v>408</v>
      </c>
      <c r="E165" s="44" t="s">
        <v>353</v>
      </c>
      <c r="F165" s="40" t="s">
        <v>409</v>
      </c>
      <c r="G165" s="40" t="s">
        <v>355</v>
      </c>
    </row>
    <row r="166" spans="1:7" ht="175.5" customHeight="1" x14ac:dyDescent="0.25">
      <c r="A166" s="95"/>
      <c r="B166" s="40" t="s">
        <v>405</v>
      </c>
      <c r="C166" s="40" t="s">
        <v>410</v>
      </c>
      <c r="D166" s="40" t="s">
        <v>411</v>
      </c>
      <c r="E166" s="44" t="s">
        <v>412</v>
      </c>
      <c r="F166" s="40" t="s">
        <v>413</v>
      </c>
      <c r="G166" s="40" t="s">
        <v>414</v>
      </c>
    </row>
    <row r="167" spans="1:7" x14ac:dyDescent="0.25">
      <c r="A167" s="110" t="s">
        <v>62</v>
      </c>
      <c r="B167" s="107" t="s">
        <v>122</v>
      </c>
      <c r="C167" s="80"/>
      <c r="D167" s="80"/>
      <c r="E167" s="80"/>
      <c r="F167" s="80"/>
      <c r="G167" s="81"/>
    </row>
    <row r="168" spans="1:7" x14ac:dyDescent="0.25">
      <c r="A168" s="111"/>
      <c r="B168" s="105" t="s">
        <v>123</v>
      </c>
      <c r="C168" s="80"/>
      <c r="D168" s="80"/>
      <c r="E168" s="80"/>
      <c r="F168" s="80"/>
      <c r="G168" s="81"/>
    </row>
    <row r="169" spans="1:7" x14ac:dyDescent="0.25">
      <c r="A169" s="111"/>
      <c r="B169" s="66" t="s">
        <v>124</v>
      </c>
      <c r="C169" s="105" t="s">
        <v>125</v>
      </c>
      <c r="D169" s="80"/>
      <c r="E169" s="81"/>
      <c r="F169" s="39" t="s">
        <v>126</v>
      </c>
      <c r="G169" s="39" t="s">
        <v>127</v>
      </c>
    </row>
    <row r="170" spans="1:7" x14ac:dyDescent="0.25">
      <c r="A170" s="111"/>
      <c r="B170" s="41" t="s">
        <v>415</v>
      </c>
      <c r="C170" s="106" t="s">
        <v>416</v>
      </c>
      <c r="D170" s="80"/>
      <c r="E170" s="81"/>
      <c r="F170" s="42"/>
      <c r="G170" s="37"/>
    </row>
    <row r="171" spans="1:7" x14ac:dyDescent="0.25">
      <c r="A171" s="111"/>
      <c r="B171" s="104" t="s">
        <v>137</v>
      </c>
      <c r="C171" s="80"/>
      <c r="D171" s="80"/>
      <c r="E171" s="80"/>
      <c r="F171" s="80"/>
      <c r="G171" s="81"/>
    </row>
    <row r="172" spans="1:7" x14ac:dyDescent="0.25">
      <c r="A172" s="111"/>
      <c r="B172" s="38" t="s">
        <v>124</v>
      </c>
      <c r="C172" s="38" t="s">
        <v>138</v>
      </c>
      <c r="D172" s="38" t="s">
        <v>19</v>
      </c>
      <c r="E172" s="38" t="s">
        <v>139</v>
      </c>
      <c r="F172" s="38" t="s">
        <v>140</v>
      </c>
      <c r="G172" s="38" t="s">
        <v>141</v>
      </c>
    </row>
    <row r="173" spans="1:7" ht="108" customHeight="1" x14ac:dyDescent="0.25">
      <c r="A173" s="112"/>
      <c r="B173" s="40" t="s">
        <v>415</v>
      </c>
      <c r="C173" s="40" t="s">
        <v>417</v>
      </c>
      <c r="D173" s="40" t="s">
        <v>418</v>
      </c>
      <c r="E173" s="44" t="s">
        <v>372</v>
      </c>
      <c r="F173" s="40" t="s">
        <v>419</v>
      </c>
      <c r="G173" s="40" t="s">
        <v>420</v>
      </c>
    </row>
    <row r="174" spans="1:7" x14ac:dyDescent="0.25">
      <c r="A174" s="110" t="s">
        <v>64</v>
      </c>
      <c r="B174" s="107" t="s">
        <v>122</v>
      </c>
      <c r="C174" s="80"/>
      <c r="D174" s="80"/>
      <c r="E174" s="80"/>
      <c r="F174" s="80"/>
      <c r="G174" s="81"/>
    </row>
    <row r="175" spans="1:7" x14ac:dyDescent="0.25">
      <c r="A175" s="111"/>
      <c r="B175" s="105" t="s">
        <v>123</v>
      </c>
      <c r="C175" s="80"/>
      <c r="D175" s="80"/>
      <c r="E175" s="80"/>
      <c r="F175" s="80"/>
      <c r="G175" s="81"/>
    </row>
    <row r="176" spans="1:7" x14ac:dyDescent="0.25">
      <c r="A176" s="111"/>
      <c r="B176" s="66" t="s">
        <v>124</v>
      </c>
      <c r="C176" s="105" t="s">
        <v>125</v>
      </c>
      <c r="D176" s="80"/>
      <c r="E176" s="81"/>
      <c r="F176" s="39" t="s">
        <v>126</v>
      </c>
      <c r="G176" s="39" t="s">
        <v>127</v>
      </c>
    </row>
    <row r="177" spans="1:7" x14ac:dyDescent="0.25">
      <c r="A177" s="111"/>
      <c r="B177" s="41" t="s">
        <v>421</v>
      </c>
      <c r="C177" s="106" t="s">
        <v>422</v>
      </c>
      <c r="D177" s="80"/>
      <c r="E177" s="81"/>
      <c r="F177" s="42"/>
      <c r="G177" s="37"/>
    </row>
    <row r="178" spans="1:7" x14ac:dyDescent="0.25">
      <c r="A178" s="111"/>
      <c r="B178" s="104" t="s">
        <v>137</v>
      </c>
      <c r="C178" s="80"/>
      <c r="D178" s="80"/>
      <c r="E178" s="80"/>
      <c r="F178" s="80"/>
      <c r="G178" s="81"/>
    </row>
    <row r="179" spans="1:7" x14ac:dyDescent="0.25">
      <c r="A179" s="111"/>
      <c r="B179" s="38" t="s">
        <v>124</v>
      </c>
      <c r="C179" s="38" t="s">
        <v>138</v>
      </c>
      <c r="D179" s="38" t="s">
        <v>19</v>
      </c>
      <c r="E179" s="38" t="s">
        <v>139</v>
      </c>
      <c r="F179" s="38" t="s">
        <v>140</v>
      </c>
      <c r="G179" s="38" t="s">
        <v>141</v>
      </c>
    </row>
    <row r="180" spans="1:7" ht="54" customHeight="1" x14ac:dyDescent="0.25">
      <c r="A180" s="112"/>
      <c r="B180" s="40" t="s">
        <v>421</v>
      </c>
      <c r="C180" s="40" t="s">
        <v>423</v>
      </c>
      <c r="D180" s="40" t="s">
        <v>424</v>
      </c>
      <c r="E180" s="44" t="s">
        <v>425</v>
      </c>
      <c r="F180" s="40" t="s">
        <v>426</v>
      </c>
      <c r="G180" s="40" t="s">
        <v>374</v>
      </c>
    </row>
    <row r="181" spans="1:7" x14ac:dyDescent="0.25">
      <c r="A181" s="110" t="s">
        <v>66</v>
      </c>
      <c r="B181" s="107" t="s">
        <v>122</v>
      </c>
      <c r="C181" s="80"/>
      <c r="D181" s="80"/>
      <c r="E181" s="80"/>
      <c r="F181" s="80"/>
      <c r="G181" s="81"/>
    </row>
    <row r="182" spans="1:7" x14ac:dyDescent="0.25">
      <c r="A182" s="111"/>
      <c r="B182" s="105" t="s">
        <v>123</v>
      </c>
      <c r="C182" s="80"/>
      <c r="D182" s="80"/>
      <c r="E182" s="80"/>
      <c r="F182" s="80"/>
      <c r="G182" s="81"/>
    </row>
    <row r="183" spans="1:7" x14ac:dyDescent="0.25">
      <c r="A183" s="111"/>
      <c r="B183" s="66" t="s">
        <v>124</v>
      </c>
      <c r="C183" s="105" t="s">
        <v>125</v>
      </c>
      <c r="D183" s="80"/>
      <c r="E183" s="81"/>
      <c r="F183" s="39" t="s">
        <v>126</v>
      </c>
      <c r="G183" s="39" t="s">
        <v>127</v>
      </c>
    </row>
    <row r="184" spans="1:7" x14ac:dyDescent="0.25">
      <c r="A184" s="111"/>
      <c r="B184" s="41" t="s">
        <v>427</v>
      </c>
      <c r="C184" s="106" t="s">
        <v>428</v>
      </c>
      <c r="D184" s="80"/>
      <c r="E184" s="81"/>
      <c r="F184" s="42" t="s">
        <v>394</v>
      </c>
      <c r="G184" s="37" t="s">
        <v>395</v>
      </c>
    </row>
    <row r="185" spans="1:7" x14ac:dyDescent="0.25">
      <c r="A185" s="111"/>
      <c r="B185" s="104" t="s">
        <v>137</v>
      </c>
      <c r="C185" s="80"/>
      <c r="D185" s="80"/>
      <c r="E185" s="80"/>
      <c r="F185" s="80"/>
      <c r="G185" s="81"/>
    </row>
    <row r="186" spans="1:7" x14ac:dyDescent="0.25">
      <c r="A186" s="111"/>
      <c r="B186" s="38" t="s">
        <v>124</v>
      </c>
      <c r="C186" s="38" t="s">
        <v>138</v>
      </c>
      <c r="D186" s="38" t="s">
        <v>19</v>
      </c>
      <c r="E186" s="38" t="s">
        <v>139</v>
      </c>
      <c r="F186" s="38" t="s">
        <v>140</v>
      </c>
      <c r="G186" s="38" t="s">
        <v>141</v>
      </c>
    </row>
    <row r="187" spans="1:7" ht="27" customHeight="1" x14ac:dyDescent="0.25">
      <c r="A187" s="112"/>
      <c r="B187" s="40" t="s">
        <v>427</v>
      </c>
      <c r="C187" s="40" t="s">
        <v>429</v>
      </c>
      <c r="D187" s="40" t="s">
        <v>430</v>
      </c>
      <c r="E187" s="44" t="s">
        <v>431</v>
      </c>
      <c r="F187" s="40" t="s">
        <v>432</v>
      </c>
      <c r="G187" s="40" t="s">
        <v>433</v>
      </c>
    </row>
    <row r="188" spans="1:7" x14ac:dyDescent="0.25">
      <c r="A188" s="110" t="s">
        <v>68</v>
      </c>
      <c r="B188" s="107" t="s">
        <v>122</v>
      </c>
      <c r="C188" s="80"/>
      <c r="D188" s="80"/>
      <c r="E188" s="80"/>
      <c r="F188" s="80"/>
      <c r="G188" s="81"/>
    </row>
    <row r="189" spans="1:7" x14ac:dyDescent="0.25">
      <c r="A189" s="111"/>
      <c r="B189" s="105" t="s">
        <v>123</v>
      </c>
      <c r="C189" s="80"/>
      <c r="D189" s="80"/>
      <c r="E189" s="80"/>
      <c r="F189" s="80"/>
      <c r="G189" s="81"/>
    </row>
    <row r="190" spans="1:7" x14ac:dyDescent="0.25">
      <c r="A190" s="111"/>
      <c r="B190" s="66" t="s">
        <v>124</v>
      </c>
      <c r="C190" s="105" t="s">
        <v>125</v>
      </c>
      <c r="D190" s="80"/>
      <c r="E190" s="81"/>
      <c r="F190" s="39" t="s">
        <v>126</v>
      </c>
      <c r="G190" s="39" t="s">
        <v>127</v>
      </c>
    </row>
    <row r="191" spans="1:7" x14ac:dyDescent="0.25">
      <c r="A191" s="111"/>
      <c r="B191" s="41" t="s">
        <v>434</v>
      </c>
      <c r="C191" s="106" t="s">
        <v>435</v>
      </c>
      <c r="D191" s="80"/>
      <c r="E191" s="81"/>
      <c r="F191" s="42" t="s">
        <v>394</v>
      </c>
      <c r="G191" s="37" t="s">
        <v>395</v>
      </c>
    </row>
    <row r="192" spans="1:7" x14ac:dyDescent="0.25">
      <c r="A192" s="111"/>
      <c r="B192" s="104" t="s">
        <v>137</v>
      </c>
      <c r="C192" s="80"/>
      <c r="D192" s="80"/>
      <c r="E192" s="80"/>
      <c r="F192" s="80"/>
      <c r="G192" s="81"/>
    </row>
    <row r="193" spans="1:7" x14ac:dyDescent="0.25">
      <c r="A193" s="111"/>
      <c r="B193" s="38" t="s">
        <v>124</v>
      </c>
      <c r="C193" s="38" t="s">
        <v>138</v>
      </c>
      <c r="D193" s="38" t="s">
        <v>19</v>
      </c>
      <c r="E193" s="38" t="s">
        <v>139</v>
      </c>
      <c r="F193" s="38" t="s">
        <v>140</v>
      </c>
      <c r="G193" s="38" t="s">
        <v>141</v>
      </c>
    </row>
    <row r="194" spans="1:7" ht="108" customHeight="1" x14ac:dyDescent="0.25">
      <c r="A194" s="112"/>
      <c r="B194" s="40" t="s">
        <v>434</v>
      </c>
      <c r="C194" s="40" t="s">
        <v>436</v>
      </c>
      <c r="D194" s="40" t="s">
        <v>437</v>
      </c>
      <c r="E194" s="44" t="s">
        <v>372</v>
      </c>
      <c r="F194" s="40" t="s">
        <v>438</v>
      </c>
      <c r="G194" s="40" t="s">
        <v>439</v>
      </c>
    </row>
    <row r="195" spans="1:7" x14ac:dyDescent="0.25">
      <c r="A195" s="110" t="s">
        <v>70</v>
      </c>
      <c r="B195" s="107" t="s">
        <v>122</v>
      </c>
      <c r="C195" s="80"/>
      <c r="D195" s="80"/>
      <c r="E195" s="80"/>
      <c r="F195" s="80"/>
      <c r="G195" s="81"/>
    </row>
    <row r="196" spans="1:7" x14ac:dyDescent="0.25">
      <c r="A196" s="111"/>
      <c r="B196" s="105" t="s">
        <v>123</v>
      </c>
      <c r="C196" s="80"/>
      <c r="D196" s="80"/>
      <c r="E196" s="80"/>
      <c r="F196" s="80"/>
      <c r="G196" s="81"/>
    </row>
    <row r="197" spans="1:7" x14ac:dyDescent="0.25">
      <c r="A197" s="111"/>
      <c r="B197" s="66" t="s">
        <v>124</v>
      </c>
      <c r="C197" s="105" t="s">
        <v>125</v>
      </c>
      <c r="D197" s="80"/>
      <c r="E197" s="81"/>
      <c r="F197" s="39" t="s">
        <v>126</v>
      </c>
      <c r="G197" s="39" t="s">
        <v>127</v>
      </c>
    </row>
    <row r="198" spans="1:7" x14ac:dyDescent="0.25">
      <c r="A198" s="111"/>
      <c r="B198" s="41" t="s">
        <v>440</v>
      </c>
      <c r="C198" s="106" t="s">
        <v>441</v>
      </c>
      <c r="D198" s="80"/>
      <c r="E198" s="81"/>
      <c r="F198" s="42" t="s">
        <v>170</v>
      </c>
      <c r="G198" s="37"/>
    </row>
    <row r="199" spans="1:7" x14ac:dyDescent="0.25">
      <c r="A199" s="111"/>
      <c r="B199" s="104" t="s">
        <v>137</v>
      </c>
      <c r="C199" s="80"/>
      <c r="D199" s="80"/>
      <c r="E199" s="80"/>
      <c r="F199" s="80"/>
      <c r="G199" s="81"/>
    </row>
    <row r="200" spans="1:7" x14ac:dyDescent="0.25">
      <c r="A200" s="111"/>
      <c r="B200" s="38" t="s">
        <v>124</v>
      </c>
      <c r="C200" s="38" t="s">
        <v>138</v>
      </c>
      <c r="D200" s="38" t="s">
        <v>19</v>
      </c>
      <c r="E200" s="38" t="s">
        <v>139</v>
      </c>
      <c r="F200" s="38" t="s">
        <v>140</v>
      </c>
      <c r="G200" s="38" t="s">
        <v>141</v>
      </c>
    </row>
    <row r="201" spans="1:7" ht="121.5" customHeight="1" x14ac:dyDescent="0.25">
      <c r="A201" s="112"/>
      <c r="B201" s="40" t="s">
        <v>440</v>
      </c>
      <c r="C201" s="40" t="s">
        <v>70</v>
      </c>
      <c r="D201" s="40" t="s">
        <v>442</v>
      </c>
      <c r="E201" s="44" t="s">
        <v>372</v>
      </c>
      <c r="F201" s="18" t="s">
        <v>443</v>
      </c>
      <c r="G201" s="40" t="s">
        <v>444</v>
      </c>
    </row>
    <row r="202" spans="1:7" x14ac:dyDescent="0.25">
      <c r="A202" s="110" t="s">
        <v>72</v>
      </c>
      <c r="B202" s="107" t="s">
        <v>122</v>
      </c>
      <c r="C202" s="80"/>
      <c r="D202" s="80"/>
      <c r="E202" s="80"/>
      <c r="F202" s="80"/>
      <c r="G202" s="81"/>
    </row>
    <row r="203" spans="1:7" x14ac:dyDescent="0.25">
      <c r="A203" s="111"/>
      <c r="B203" s="105" t="s">
        <v>123</v>
      </c>
      <c r="C203" s="80"/>
      <c r="D203" s="80"/>
      <c r="E203" s="80"/>
      <c r="F203" s="80"/>
      <c r="G203" s="81"/>
    </row>
    <row r="204" spans="1:7" x14ac:dyDescent="0.25">
      <c r="A204" s="111"/>
      <c r="B204" s="66" t="s">
        <v>124</v>
      </c>
      <c r="C204" s="105" t="s">
        <v>125</v>
      </c>
      <c r="D204" s="80"/>
      <c r="E204" s="81"/>
      <c r="F204" s="39" t="s">
        <v>126</v>
      </c>
      <c r="G204" s="39" t="s">
        <v>127</v>
      </c>
    </row>
    <row r="205" spans="1:7" x14ac:dyDescent="0.25">
      <c r="A205" s="111"/>
      <c r="B205" s="41" t="s">
        <v>445</v>
      </c>
      <c r="C205" s="106" t="s">
        <v>446</v>
      </c>
      <c r="D205" s="80"/>
      <c r="E205" s="81"/>
      <c r="F205" s="42" t="s">
        <v>170</v>
      </c>
      <c r="G205" s="37"/>
    </row>
    <row r="206" spans="1:7" x14ac:dyDescent="0.25">
      <c r="A206" s="111"/>
      <c r="B206" s="104" t="s">
        <v>137</v>
      </c>
      <c r="C206" s="80"/>
      <c r="D206" s="80"/>
      <c r="E206" s="80"/>
      <c r="F206" s="80"/>
      <c r="G206" s="81"/>
    </row>
    <row r="207" spans="1:7" x14ac:dyDescent="0.25">
      <c r="A207" s="111"/>
      <c r="B207" s="38" t="s">
        <v>124</v>
      </c>
      <c r="C207" s="38" t="s">
        <v>138</v>
      </c>
      <c r="D207" s="38" t="s">
        <v>19</v>
      </c>
      <c r="E207" s="38" t="s">
        <v>139</v>
      </c>
      <c r="F207" s="38" t="s">
        <v>140</v>
      </c>
      <c r="G207" s="38" t="s">
        <v>141</v>
      </c>
    </row>
    <row r="208" spans="1:7" ht="81" customHeight="1" x14ac:dyDescent="0.25">
      <c r="A208" s="112"/>
      <c r="B208" s="40" t="s">
        <v>445</v>
      </c>
      <c r="C208" s="40" t="s">
        <v>72</v>
      </c>
      <c r="D208" s="40" t="s">
        <v>447</v>
      </c>
      <c r="E208" s="44" t="s">
        <v>372</v>
      </c>
      <c r="F208" s="18" t="s">
        <v>448</v>
      </c>
      <c r="G208" s="40" t="s">
        <v>449</v>
      </c>
    </row>
    <row r="209" spans="1:7" x14ac:dyDescent="0.25">
      <c r="A209" s="110" t="s">
        <v>74</v>
      </c>
      <c r="B209" s="107" t="s">
        <v>122</v>
      </c>
      <c r="C209" s="80"/>
      <c r="D209" s="80"/>
      <c r="E209" s="80"/>
      <c r="F209" s="80"/>
      <c r="G209" s="81"/>
    </row>
    <row r="210" spans="1:7" x14ac:dyDescent="0.25">
      <c r="A210" s="111"/>
      <c r="B210" s="105" t="s">
        <v>123</v>
      </c>
      <c r="C210" s="80"/>
      <c r="D210" s="80"/>
      <c r="E210" s="80"/>
      <c r="F210" s="80"/>
      <c r="G210" s="81"/>
    </row>
    <row r="211" spans="1:7" x14ac:dyDescent="0.25">
      <c r="A211" s="111"/>
      <c r="B211" s="66" t="s">
        <v>124</v>
      </c>
      <c r="C211" s="105" t="s">
        <v>125</v>
      </c>
      <c r="D211" s="80"/>
      <c r="E211" s="81"/>
      <c r="F211" s="39" t="s">
        <v>126</v>
      </c>
      <c r="G211" s="39" t="s">
        <v>127</v>
      </c>
    </row>
    <row r="212" spans="1:7" x14ac:dyDescent="0.25">
      <c r="A212" s="111"/>
      <c r="B212" s="41" t="s">
        <v>450</v>
      </c>
      <c r="C212" s="106" t="s">
        <v>451</v>
      </c>
      <c r="D212" s="80"/>
      <c r="E212" s="81"/>
      <c r="F212" s="42" t="s">
        <v>170</v>
      </c>
      <c r="G212" s="37"/>
    </row>
    <row r="213" spans="1:7" x14ac:dyDescent="0.25">
      <c r="A213" s="111"/>
      <c r="B213" s="104" t="s">
        <v>137</v>
      </c>
      <c r="C213" s="80"/>
      <c r="D213" s="80"/>
      <c r="E213" s="80"/>
      <c r="F213" s="80"/>
      <c r="G213" s="81"/>
    </row>
    <row r="214" spans="1:7" x14ac:dyDescent="0.25">
      <c r="A214" s="111"/>
      <c r="B214" s="38" t="s">
        <v>124</v>
      </c>
      <c r="C214" s="38" t="s">
        <v>138</v>
      </c>
      <c r="D214" s="38" t="s">
        <v>19</v>
      </c>
      <c r="E214" s="38" t="s">
        <v>139</v>
      </c>
      <c r="F214" s="38" t="s">
        <v>140</v>
      </c>
      <c r="G214" s="38" t="s">
        <v>141</v>
      </c>
    </row>
    <row r="215" spans="1:7" ht="81" customHeight="1" x14ac:dyDescent="0.25">
      <c r="A215" s="112"/>
      <c r="B215" s="40" t="s">
        <v>450</v>
      </c>
      <c r="C215" s="40" t="s">
        <v>74</v>
      </c>
      <c r="D215" s="40" t="s">
        <v>452</v>
      </c>
      <c r="E215" s="44" t="s">
        <v>453</v>
      </c>
      <c r="F215" s="40" t="s">
        <v>454</v>
      </c>
      <c r="G215" s="40" t="s">
        <v>455</v>
      </c>
    </row>
    <row r="216" spans="1:7" x14ac:dyDescent="0.25">
      <c r="A216" s="110" t="s">
        <v>76</v>
      </c>
      <c r="B216" s="107" t="s">
        <v>122</v>
      </c>
      <c r="C216" s="80"/>
      <c r="D216" s="80"/>
      <c r="E216" s="80"/>
      <c r="F216" s="80"/>
      <c r="G216" s="81"/>
    </row>
    <row r="217" spans="1:7" x14ac:dyDescent="0.25">
      <c r="A217" s="111"/>
      <c r="B217" s="105" t="s">
        <v>123</v>
      </c>
      <c r="C217" s="80"/>
      <c r="D217" s="80"/>
      <c r="E217" s="80"/>
      <c r="F217" s="80"/>
      <c r="G217" s="81"/>
    </row>
    <row r="218" spans="1:7" x14ac:dyDescent="0.25">
      <c r="A218" s="111"/>
      <c r="B218" s="66" t="s">
        <v>124</v>
      </c>
      <c r="C218" s="105" t="s">
        <v>125</v>
      </c>
      <c r="D218" s="80"/>
      <c r="E218" s="81"/>
      <c r="F218" s="39" t="s">
        <v>126</v>
      </c>
      <c r="G218" s="39" t="s">
        <v>127</v>
      </c>
    </row>
    <row r="219" spans="1:7" x14ac:dyDescent="0.25">
      <c r="A219" s="111"/>
      <c r="B219" s="41" t="s">
        <v>456</v>
      </c>
      <c r="C219" s="106" t="s">
        <v>457</v>
      </c>
      <c r="D219" s="80"/>
      <c r="E219" s="81"/>
      <c r="F219" s="42" t="s">
        <v>170</v>
      </c>
      <c r="G219" s="37"/>
    </row>
    <row r="220" spans="1:7" x14ac:dyDescent="0.25">
      <c r="A220" s="111"/>
      <c r="B220" s="104" t="s">
        <v>137</v>
      </c>
      <c r="C220" s="80"/>
      <c r="D220" s="80"/>
      <c r="E220" s="80"/>
      <c r="F220" s="80"/>
      <c r="G220" s="81"/>
    </row>
    <row r="221" spans="1:7" x14ac:dyDescent="0.25">
      <c r="A221" s="111"/>
      <c r="B221" s="38" t="s">
        <v>124</v>
      </c>
      <c r="C221" s="38" t="s">
        <v>138</v>
      </c>
      <c r="D221" s="38" t="s">
        <v>19</v>
      </c>
      <c r="E221" s="38" t="s">
        <v>139</v>
      </c>
      <c r="F221" s="38" t="s">
        <v>140</v>
      </c>
      <c r="G221" s="38" t="s">
        <v>141</v>
      </c>
    </row>
    <row r="222" spans="1:7" ht="175.5" customHeight="1" x14ac:dyDescent="0.25">
      <c r="A222" s="112"/>
      <c r="B222" s="40" t="s">
        <v>456</v>
      </c>
      <c r="C222" s="40" t="s">
        <v>458</v>
      </c>
      <c r="D222" s="40" t="s">
        <v>459</v>
      </c>
      <c r="E222" s="44" t="s">
        <v>372</v>
      </c>
      <c r="F222" s="40" t="s">
        <v>460</v>
      </c>
      <c r="G222" s="40" t="s">
        <v>461</v>
      </c>
    </row>
    <row r="223" spans="1:7" ht="13.5" customHeight="1" x14ac:dyDescent="0.25">
      <c r="A223" s="113" t="s">
        <v>78</v>
      </c>
      <c r="B223" s="107" t="s">
        <v>122</v>
      </c>
      <c r="C223" s="80"/>
      <c r="D223" s="80"/>
      <c r="E223" s="80"/>
      <c r="F223" s="80"/>
      <c r="G223" s="81"/>
    </row>
    <row r="224" spans="1:7" x14ac:dyDescent="0.25">
      <c r="A224" s="94"/>
      <c r="B224" s="105" t="s">
        <v>123</v>
      </c>
      <c r="C224" s="80"/>
      <c r="D224" s="80"/>
      <c r="E224" s="80"/>
      <c r="F224" s="80"/>
      <c r="G224" s="81"/>
    </row>
    <row r="225" spans="1:7" x14ac:dyDescent="0.25">
      <c r="A225" s="94"/>
      <c r="B225" s="66" t="s">
        <v>124</v>
      </c>
      <c r="C225" s="105" t="s">
        <v>125</v>
      </c>
      <c r="D225" s="80"/>
      <c r="E225" s="81"/>
      <c r="F225" s="39" t="s">
        <v>126</v>
      </c>
      <c r="G225" s="39" t="s">
        <v>127</v>
      </c>
    </row>
    <row r="226" spans="1:7" x14ac:dyDescent="0.25">
      <c r="A226" s="94"/>
      <c r="B226" s="41" t="s">
        <v>462</v>
      </c>
      <c r="C226" s="106" t="s">
        <v>463</v>
      </c>
      <c r="D226" s="80"/>
      <c r="E226" s="81"/>
      <c r="F226" s="42" t="s">
        <v>170</v>
      </c>
      <c r="G226" s="37"/>
    </row>
    <row r="227" spans="1:7" x14ac:dyDescent="0.25">
      <c r="A227" s="94"/>
      <c r="B227" s="104" t="s">
        <v>137</v>
      </c>
      <c r="C227" s="80"/>
      <c r="D227" s="80"/>
      <c r="E227" s="80"/>
      <c r="F227" s="80"/>
      <c r="G227" s="81"/>
    </row>
    <row r="228" spans="1:7" x14ac:dyDescent="0.25">
      <c r="A228" s="94"/>
      <c r="B228" s="38" t="s">
        <v>124</v>
      </c>
      <c r="C228" s="38" t="s">
        <v>138</v>
      </c>
      <c r="D228" s="38" t="s">
        <v>19</v>
      </c>
      <c r="E228" s="38" t="s">
        <v>139</v>
      </c>
      <c r="F228" s="38" t="s">
        <v>140</v>
      </c>
      <c r="G228" s="38" t="s">
        <v>141</v>
      </c>
    </row>
    <row r="229" spans="1:7" ht="94.5" customHeight="1" x14ac:dyDescent="0.25">
      <c r="A229" s="94"/>
      <c r="B229" s="40" t="s">
        <v>462</v>
      </c>
      <c r="C229" s="40" t="s">
        <v>464</v>
      </c>
      <c r="D229" s="40" t="s">
        <v>465</v>
      </c>
      <c r="E229" s="44" t="s">
        <v>372</v>
      </c>
      <c r="F229" s="40" t="s">
        <v>466</v>
      </c>
      <c r="G229" s="40" t="s">
        <v>467</v>
      </c>
    </row>
    <row r="230" spans="1:7" ht="94.5" customHeight="1" x14ac:dyDescent="0.25">
      <c r="A230" s="95"/>
      <c r="B230" s="40" t="s">
        <v>468</v>
      </c>
      <c r="C230" s="40" t="s">
        <v>469</v>
      </c>
      <c r="D230" s="40" t="s">
        <v>470</v>
      </c>
      <c r="E230" s="44" t="s">
        <v>372</v>
      </c>
      <c r="F230" s="40" t="s">
        <v>471</v>
      </c>
      <c r="G230" s="40" t="s">
        <v>467</v>
      </c>
    </row>
    <row r="231" spans="1:7" ht="14.25" customHeight="1" x14ac:dyDescent="0.25">
      <c r="A231" s="127" t="s">
        <v>80</v>
      </c>
      <c r="B231" s="129" t="s">
        <v>122</v>
      </c>
      <c r="C231" s="80"/>
      <c r="D231" s="80"/>
      <c r="E231" s="80"/>
      <c r="F231" s="80"/>
      <c r="G231" s="92"/>
    </row>
    <row r="232" spans="1:7" x14ac:dyDescent="0.25">
      <c r="A232" s="94"/>
      <c r="B232" s="123" t="s">
        <v>123</v>
      </c>
      <c r="C232" s="88"/>
      <c r="D232" s="88"/>
      <c r="E232" s="88"/>
      <c r="F232" s="88"/>
      <c r="G232" s="89"/>
    </row>
    <row r="233" spans="1:7" x14ac:dyDescent="0.25">
      <c r="A233" s="94"/>
      <c r="B233" s="63" t="s">
        <v>124</v>
      </c>
      <c r="C233" s="123" t="s">
        <v>125</v>
      </c>
      <c r="D233" s="88"/>
      <c r="E233" s="89"/>
      <c r="F233" s="34" t="s">
        <v>126</v>
      </c>
      <c r="G233" s="34" t="s">
        <v>127</v>
      </c>
    </row>
    <row r="234" spans="1:7" x14ac:dyDescent="0.25">
      <c r="A234" s="94"/>
      <c r="B234" s="20" t="s">
        <v>472</v>
      </c>
      <c r="C234" s="108" t="s">
        <v>473</v>
      </c>
      <c r="D234" s="88"/>
      <c r="E234" s="89"/>
      <c r="F234" s="17" t="s">
        <v>170</v>
      </c>
      <c r="G234" s="15"/>
    </row>
    <row r="235" spans="1:7" x14ac:dyDescent="0.25">
      <c r="A235" s="94"/>
      <c r="B235" s="109" t="s">
        <v>137</v>
      </c>
      <c r="C235" s="88"/>
      <c r="D235" s="88"/>
      <c r="E235" s="88"/>
      <c r="F235" s="88"/>
      <c r="G235" s="89"/>
    </row>
    <row r="236" spans="1:7" x14ac:dyDescent="0.25">
      <c r="A236" s="94"/>
      <c r="B236" s="21" t="s">
        <v>124</v>
      </c>
      <c r="C236" s="21" t="s">
        <v>138</v>
      </c>
      <c r="D236" s="21" t="s">
        <v>19</v>
      </c>
      <c r="E236" s="21" t="s">
        <v>139</v>
      </c>
      <c r="F236" s="21" t="s">
        <v>140</v>
      </c>
      <c r="G236" s="21" t="s">
        <v>141</v>
      </c>
    </row>
    <row r="237" spans="1:7" ht="81" customHeight="1" x14ac:dyDescent="0.25">
      <c r="A237" s="128"/>
      <c r="B237" s="40" t="s">
        <v>472</v>
      </c>
      <c r="C237" s="44" t="s">
        <v>80</v>
      </c>
      <c r="D237" s="44" t="s">
        <v>452</v>
      </c>
      <c r="E237" s="44" t="s">
        <v>474</v>
      </c>
      <c r="F237" s="44" t="s">
        <v>475</v>
      </c>
      <c r="G237" s="44" t="s">
        <v>476</v>
      </c>
    </row>
  </sheetData>
  <mergeCells count="179">
    <mergeCell ref="C117:E117"/>
    <mergeCell ref="B118:G118"/>
    <mergeCell ref="B114:G114"/>
    <mergeCell ref="C123:E123"/>
    <mergeCell ref="C96:E96"/>
    <mergeCell ref="C97:E97"/>
    <mergeCell ref="C40:C46"/>
    <mergeCell ref="F40:G46"/>
    <mergeCell ref="B25:B46"/>
    <mergeCell ref="B47:G47"/>
    <mergeCell ref="B48:B57"/>
    <mergeCell ref="C59:E59"/>
    <mergeCell ref="C60:E60"/>
    <mergeCell ref="B98:G98"/>
    <mergeCell ref="C105:E105"/>
    <mergeCell ref="C106:E106"/>
    <mergeCell ref="C107:E107"/>
    <mergeCell ref="C108:E108"/>
    <mergeCell ref="B109:G109"/>
    <mergeCell ref="C73:E73"/>
    <mergeCell ref="C74:E74"/>
    <mergeCell ref="A223:A230"/>
    <mergeCell ref="C124:E124"/>
    <mergeCell ref="B126:G126"/>
    <mergeCell ref="B71:G71"/>
    <mergeCell ref="C72:E72"/>
    <mergeCell ref="C75:E75"/>
    <mergeCell ref="B76:G76"/>
    <mergeCell ref="A70:A80"/>
    <mergeCell ref="B70:G70"/>
    <mergeCell ref="A103:A113"/>
    <mergeCell ref="B103:G103"/>
    <mergeCell ref="B104:G104"/>
    <mergeCell ref="B121:G121"/>
    <mergeCell ref="B122:G122"/>
    <mergeCell ref="A114:A120"/>
    <mergeCell ref="B115:G115"/>
    <mergeCell ref="C191:E191"/>
    <mergeCell ref="B192:G192"/>
    <mergeCell ref="A181:A187"/>
    <mergeCell ref="B181:G181"/>
    <mergeCell ref="B182:G182"/>
    <mergeCell ref="C183:E183"/>
    <mergeCell ref="C184:E184"/>
    <mergeCell ref="C116:E116"/>
    <mergeCell ref="A1:A22"/>
    <mergeCell ref="A23:A69"/>
    <mergeCell ref="B23:G23"/>
    <mergeCell ref="B24:G24"/>
    <mergeCell ref="F25:G25"/>
    <mergeCell ref="B58:G58"/>
    <mergeCell ref="B64:G64"/>
    <mergeCell ref="F1:G1"/>
    <mergeCell ref="C26:C30"/>
    <mergeCell ref="F26:G30"/>
    <mergeCell ref="C31:C39"/>
    <mergeCell ref="F31:G39"/>
    <mergeCell ref="F19:G19"/>
    <mergeCell ref="F20:G20"/>
    <mergeCell ref="F21:G21"/>
    <mergeCell ref="F22:G22"/>
    <mergeCell ref="C54:C57"/>
    <mergeCell ref="C52:C53"/>
    <mergeCell ref="C49:C51"/>
    <mergeCell ref="C61:E61"/>
    <mergeCell ref="C62:E62"/>
    <mergeCell ref="A231:A237"/>
    <mergeCell ref="B231:G231"/>
    <mergeCell ref="B232:G232"/>
    <mergeCell ref="C233:E233"/>
    <mergeCell ref="C234:E234"/>
    <mergeCell ref="B235:G235"/>
    <mergeCell ref="B195:G195"/>
    <mergeCell ref="B196:G196"/>
    <mergeCell ref="C197:E197"/>
    <mergeCell ref="C198:E198"/>
    <mergeCell ref="B199:G199"/>
    <mergeCell ref="A216:A222"/>
    <mergeCell ref="B216:G216"/>
    <mergeCell ref="B217:G217"/>
    <mergeCell ref="C218:E218"/>
    <mergeCell ref="C219:E219"/>
    <mergeCell ref="B220:G220"/>
    <mergeCell ref="B223:G223"/>
    <mergeCell ref="B224:G224"/>
    <mergeCell ref="C225:E225"/>
    <mergeCell ref="C226:E226"/>
    <mergeCell ref="B227:G227"/>
    <mergeCell ref="A209:A215"/>
    <mergeCell ref="A202:A208"/>
    <mergeCell ref="B210:G210"/>
    <mergeCell ref="C211:E211"/>
    <mergeCell ref="C212:E212"/>
    <mergeCell ref="B213:G213"/>
    <mergeCell ref="F2:G2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C94:E94"/>
    <mergeCell ref="C95:E95"/>
    <mergeCell ref="B185:G185"/>
    <mergeCell ref="A92:A102"/>
    <mergeCell ref="B92:G92"/>
    <mergeCell ref="B93:G93"/>
    <mergeCell ref="B209:G209"/>
    <mergeCell ref="B150:G150"/>
    <mergeCell ref="B151:G151"/>
    <mergeCell ref="C152:E152"/>
    <mergeCell ref="C153:E153"/>
    <mergeCell ref="B154:G154"/>
    <mergeCell ref="B202:G202"/>
    <mergeCell ref="B203:G203"/>
    <mergeCell ref="C204:E204"/>
    <mergeCell ref="C205:E205"/>
    <mergeCell ref="B206:G206"/>
    <mergeCell ref="A195:A201"/>
    <mergeCell ref="A188:A194"/>
    <mergeCell ref="B188:G188"/>
    <mergeCell ref="B189:G189"/>
    <mergeCell ref="C190:E190"/>
    <mergeCell ref="A174:A180"/>
    <mergeCell ref="B174:G174"/>
    <mergeCell ref="B175:G175"/>
    <mergeCell ref="C176:E176"/>
    <mergeCell ref="C177:E177"/>
    <mergeCell ref="A81:A91"/>
    <mergeCell ref="B81:G81"/>
    <mergeCell ref="B82:G82"/>
    <mergeCell ref="C83:E83"/>
    <mergeCell ref="C84:E84"/>
    <mergeCell ref="C85:E85"/>
    <mergeCell ref="C86:E86"/>
    <mergeCell ref="B87:G87"/>
    <mergeCell ref="C63:E63"/>
    <mergeCell ref="B178:G178"/>
    <mergeCell ref="A167:A173"/>
    <mergeCell ref="B167:G167"/>
    <mergeCell ref="B168:G168"/>
    <mergeCell ref="C169:E169"/>
    <mergeCell ref="C170:E170"/>
    <mergeCell ref="B171:G171"/>
    <mergeCell ref="B158:G158"/>
    <mergeCell ref="B159:G159"/>
    <mergeCell ref="C160:E160"/>
    <mergeCell ref="C161:E161"/>
    <mergeCell ref="B163:G163"/>
    <mergeCell ref="C125:E125"/>
    <mergeCell ref="C134:E134"/>
    <mergeCell ref="A130:A138"/>
    <mergeCell ref="A121:A129"/>
    <mergeCell ref="C143:E143"/>
    <mergeCell ref="C144:E144"/>
    <mergeCell ref="C162:E162"/>
    <mergeCell ref="A158:A166"/>
    <mergeCell ref="B140:G140"/>
    <mergeCell ref="C141:E141"/>
    <mergeCell ref="C142:E142"/>
    <mergeCell ref="B145:G145"/>
    <mergeCell ref="B139:G139"/>
    <mergeCell ref="B130:G130"/>
    <mergeCell ref="B131:G131"/>
    <mergeCell ref="C132:E132"/>
    <mergeCell ref="C133:E133"/>
    <mergeCell ref="B135:G135"/>
    <mergeCell ref="A139:A149"/>
    <mergeCell ref="A150:A157"/>
  </mergeCells>
  <phoneticPr fontId="1" type="noConversion"/>
  <dataValidations count="1">
    <dataValidation type="list" allowBlank="1" showInputMessage="1" showErrorMessage="1" sqref="C2:C22">
      <formula1>"流程图,状态机,等价类划分&amp;数据组合,直接分析"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K64"/>
  <sheetViews>
    <sheetView topLeftCell="A4" zoomScaleNormal="100" workbookViewId="0">
      <selection activeCell="B10" sqref="B10:G10"/>
    </sheetView>
  </sheetViews>
  <sheetFormatPr defaultColWidth="9" defaultRowHeight="14" x14ac:dyDescent="0.25"/>
  <cols>
    <col min="1" max="1" width="15" style="61" customWidth="1"/>
    <col min="2" max="2" width="24.6328125" style="61" customWidth="1"/>
    <col min="3" max="3" width="23.453125" style="61" bestFit="1" customWidth="1"/>
    <col min="4" max="4" width="16.90625" style="61" customWidth="1"/>
    <col min="5" max="5" width="32.7265625" style="61" customWidth="1"/>
    <col min="6" max="6" width="55.6328125" style="61" customWidth="1"/>
    <col min="7" max="7" width="44.36328125" style="61" customWidth="1"/>
    <col min="8" max="10" width="9" style="61" customWidth="1"/>
    <col min="11" max="11" width="15.36328125" style="61" customWidth="1"/>
    <col min="12" max="21" width="9" style="61" customWidth="1"/>
    <col min="22" max="16384" width="9" style="61"/>
  </cols>
  <sheetData>
    <row r="1" spans="1:11" x14ac:dyDescent="0.25">
      <c r="A1" s="130" t="s">
        <v>105</v>
      </c>
      <c r="B1" s="68" t="s">
        <v>15</v>
      </c>
      <c r="C1" s="68" t="s">
        <v>16</v>
      </c>
      <c r="D1" s="68" t="s">
        <v>17</v>
      </c>
      <c r="E1" s="68" t="s">
        <v>18</v>
      </c>
      <c r="F1" s="132" t="s">
        <v>19</v>
      </c>
      <c r="G1" s="89"/>
    </row>
    <row r="2" spans="1:11" x14ac:dyDescent="0.25">
      <c r="A2" s="94"/>
      <c r="B2" s="51" t="s">
        <v>84</v>
      </c>
      <c r="C2" s="51" t="s">
        <v>23</v>
      </c>
      <c r="D2" s="51"/>
      <c r="E2" s="49">
        <v>4</v>
      </c>
      <c r="F2" s="143" t="s">
        <v>85</v>
      </c>
      <c r="G2" s="80"/>
    </row>
    <row r="3" spans="1:11" x14ac:dyDescent="0.25">
      <c r="A3" s="94"/>
      <c r="B3" s="51" t="s">
        <v>86</v>
      </c>
      <c r="C3" s="51" t="s">
        <v>26</v>
      </c>
      <c r="D3" s="51"/>
      <c r="E3" s="49">
        <v>1</v>
      </c>
      <c r="F3" s="143" t="s">
        <v>87</v>
      </c>
      <c r="G3" s="80"/>
    </row>
    <row r="4" spans="1:11" x14ac:dyDescent="0.25">
      <c r="A4" s="94"/>
      <c r="B4" s="51" t="s">
        <v>88</v>
      </c>
      <c r="C4" s="51" t="s">
        <v>26</v>
      </c>
      <c r="D4" s="51"/>
      <c r="E4" s="49">
        <v>1</v>
      </c>
      <c r="F4" s="143" t="s">
        <v>89</v>
      </c>
      <c r="G4" s="80"/>
    </row>
    <row r="5" spans="1:11" x14ac:dyDescent="0.25">
      <c r="A5" s="94"/>
      <c r="B5" s="51" t="s">
        <v>90</v>
      </c>
      <c r="C5" s="51" t="s">
        <v>26</v>
      </c>
      <c r="D5" s="51"/>
      <c r="E5" s="49">
        <v>1</v>
      </c>
      <c r="F5" s="143" t="s">
        <v>91</v>
      </c>
      <c r="G5" s="80"/>
    </row>
    <row r="6" spans="1:11" x14ac:dyDescent="0.25">
      <c r="A6" s="94"/>
      <c r="B6" s="51" t="s">
        <v>92</v>
      </c>
      <c r="C6" s="51" t="s">
        <v>26</v>
      </c>
      <c r="D6" s="51"/>
      <c r="E6" s="49">
        <v>1</v>
      </c>
      <c r="F6" s="143" t="s">
        <v>93</v>
      </c>
      <c r="G6" s="80"/>
    </row>
    <row r="7" spans="1:11" x14ac:dyDescent="0.25">
      <c r="A7" s="128"/>
      <c r="B7" s="51" t="s">
        <v>94</v>
      </c>
      <c r="C7" s="51" t="s">
        <v>26</v>
      </c>
      <c r="D7" s="51"/>
      <c r="E7" s="49">
        <v>1</v>
      </c>
      <c r="F7" s="51" t="s">
        <v>94</v>
      </c>
    </row>
    <row r="8" spans="1:11" x14ac:dyDescent="0.25">
      <c r="A8" s="124" t="s">
        <v>84</v>
      </c>
      <c r="B8" s="114" t="s">
        <v>107</v>
      </c>
      <c r="C8" s="115"/>
      <c r="D8" s="115"/>
      <c r="E8" s="115"/>
      <c r="F8" s="115"/>
      <c r="G8" s="116"/>
    </row>
    <row r="9" spans="1:11" x14ac:dyDescent="0.25">
      <c r="A9" s="94"/>
      <c r="B9" s="122" t="s">
        <v>108</v>
      </c>
      <c r="C9" s="115"/>
      <c r="D9" s="115"/>
      <c r="E9" s="115"/>
      <c r="F9" s="115"/>
      <c r="G9" s="116"/>
    </row>
    <row r="10" spans="1:11" ht="409.5" customHeight="1" x14ac:dyDescent="0.25">
      <c r="A10" s="94"/>
      <c r="B10" s="125"/>
      <c r="C10" s="115"/>
      <c r="D10" s="115"/>
      <c r="E10" s="115"/>
      <c r="F10" s="115"/>
      <c r="G10" s="116"/>
      <c r="H10" s="48" t="s">
        <v>477</v>
      </c>
      <c r="I10" s="48" t="s">
        <v>478</v>
      </c>
      <c r="J10" s="48" t="s">
        <v>479</v>
      </c>
      <c r="K10" s="48" t="s">
        <v>480</v>
      </c>
    </row>
    <row r="11" spans="1:11" x14ac:dyDescent="0.25">
      <c r="A11" s="94"/>
      <c r="B11" s="122" t="s">
        <v>109</v>
      </c>
      <c r="C11" s="115"/>
      <c r="D11" s="115"/>
      <c r="E11" s="115"/>
      <c r="F11" s="115"/>
      <c r="G11" s="116"/>
    </row>
    <row r="12" spans="1:11" x14ac:dyDescent="0.25">
      <c r="A12" s="94"/>
      <c r="B12" s="62" t="s">
        <v>110</v>
      </c>
      <c r="C12" s="126" t="s">
        <v>111</v>
      </c>
      <c r="D12" s="116"/>
      <c r="E12" s="126" t="s">
        <v>112</v>
      </c>
      <c r="F12" s="115"/>
      <c r="G12" s="116"/>
    </row>
    <row r="13" spans="1:11" x14ac:dyDescent="0.25">
      <c r="A13" s="94"/>
      <c r="B13" s="64" t="s">
        <v>113</v>
      </c>
      <c r="C13" s="113" t="s">
        <v>481</v>
      </c>
      <c r="D13" s="116"/>
      <c r="E13" s="117" t="s">
        <v>482</v>
      </c>
      <c r="F13" s="115"/>
      <c r="G13" s="116"/>
    </row>
    <row r="14" spans="1:11" x14ac:dyDescent="0.25">
      <c r="A14" s="94"/>
      <c r="B14" s="64" t="s">
        <v>116</v>
      </c>
      <c r="C14" s="113" t="s">
        <v>117</v>
      </c>
      <c r="D14" s="116"/>
      <c r="E14" s="117" t="s">
        <v>483</v>
      </c>
      <c r="F14" s="115"/>
      <c r="G14" s="116"/>
    </row>
    <row r="15" spans="1:11" x14ac:dyDescent="0.25">
      <c r="A15" s="94"/>
      <c r="B15" s="64" t="s">
        <v>119</v>
      </c>
      <c r="C15" s="113" t="s">
        <v>484</v>
      </c>
      <c r="D15" s="116"/>
      <c r="E15" s="117" t="s">
        <v>485</v>
      </c>
      <c r="F15" s="115"/>
      <c r="G15" s="116"/>
    </row>
    <row r="16" spans="1:11" x14ac:dyDescent="0.25">
      <c r="A16" s="94"/>
      <c r="B16" s="64" t="s">
        <v>486</v>
      </c>
      <c r="C16" s="113" t="s">
        <v>487</v>
      </c>
      <c r="D16" s="116"/>
      <c r="E16" s="117" t="s">
        <v>488</v>
      </c>
      <c r="F16" s="115"/>
      <c r="G16" s="116"/>
    </row>
    <row r="17" spans="1:7" x14ac:dyDescent="0.25">
      <c r="A17" s="94"/>
      <c r="B17" s="121" t="s">
        <v>122</v>
      </c>
      <c r="C17" s="88"/>
      <c r="D17" s="88"/>
      <c r="E17" s="88"/>
      <c r="F17" s="88"/>
      <c r="G17" s="89"/>
    </row>
    <row r="18" spans="1:7" x14ac:dyDescent="0.25">
      <c r="A18" s="94"/>
      <c r="B18" s="123" t="s">
        <v>123</v>
      </c>
      <c r="C18" s="88"/>
      <c r="D18" s="88"/>
      <c r="E18" s="88"/>
      <c r="F18" s="88"/>
      <c r="G18" s="89"/>
    </row>
    <row r="19" spans="1:7" x14ac:dyDescent="0.25">
      <c r="A19" s="94"/>
      <c r="B19" s="63" t="s">
        <v>124</v>
      </c>
      <c r="C19" s="123" t="s">
        <v>125</v>
      </c>
      <c r="D19" s="88"/>
      <c r="E19" s="89"/>
      <c r="F19" s="34" t="s">
        <v>126</v>
      </c>
      <c r="G19" s="34" t="s">
        <v>127</v>
      </c>
    </row>
    <row r="20" spans="1:7" x14ac:dyDescent="0.25">
      <c r="A20" s="94"/>
      <c r="B20" s="20" t="s">
        <v>489</v>
      </c>
      <c r="C20" s="108" t="s">
        <v>490</v>
      </c>
      <c r="D20" s="88"/>
      <c r="E20" s="89"/>
      <c r="F20" s="17" t="s">
        <v>491</v>
      </c>
      <c r="G20" s="15" t="s">
        <v>492</v>
      </c>
    </row>
    <row r="21" spans="1:7" x14ac:dyDescent="0.25">
      <c r="A21" s="94"/>
      <c r="B21" s="20" t="s">
        <v>493</v>
      </c>
      <c r="C21" s="108" t="s">
        <v>494</v>
      </c>
      <c r="D21" s="88"/>
      <c r="E21" s="89"/>
      <c r="F21" s="61" t="s">
        <v>495</v>
      </c>
      <c r="G21" s="15"/>
    </row>
    <row r="22" spans="1:7" x14ac:dyDescent="0.25">
      <c r="A22" s="94"/>
      <c r="B22" s="20" t="s">
        <v>496</v>
      </c>
      <c r="C22" s="108" t="s">
        <v>497</v>
      </c>
      <c r="D22" s="88"/>
      <c r="E22" s="89"/>
      <c r="F22" s="17" t="s">
        <v>498</v>
      </c>
      <c r="G22" s="15"/>
    </row>
    <row r="23" spans="1:7" x14ac:dyDescent="0.25">
      <c r="A23" s="94"/>
      <c r="B23" s="20" t="s">
        <v>499</v>
      </c>
      <c r="C23" s="108" t="s">
        <v>500</v>
      </c>
      <c r="D23" s="88"/>
      <c r="E23" s="89"/>
      <c r="F23" s="17" t="s">
        <v>501</v>
      </c>
      <c r="G23" s="15"/>
    </row>
    <row r="24" spans="1:7" x14ac:dyDescent="0.25">
      <c r="A24" s="94"/>
      <c r="B24" s="109" t="s">
        <v>137</v>
      </c>
      <c r="C24" s="88"/>
      <c r="D24" s="88"/>
      <c r="E24" s="88"/>
      <c r="F24" s="88"/>
      <c r="G24" s="89"/>
    </row>
    <row r="25" spans="1:7" x14ac:dyDescent="0.25">
      <c r="A25" s="94"/>
      <c r="B25" s="21" t="s">
        <v>124</v>
      </c>
      <c r="C25" s="21" t="s">
        <v>138</v>
      </c>
      <c r="D25" s="21" t="s">
        <v>19</v>
      </c>
      <c r="E25" s="21" t="s">
        <v>139</v>
      </c>
      <c r="F25" s="21" t="s">
        <v>140</v>
      </c>
      <c r="G25" s="21" t="s">
        <v>141</v>
      </c>
    </row>
    <row r="26" spans="1:7" ht="54" customHeight="1" x14ac:dyDescent="0.25">
      <c r="A26" s="94"/>
      <c r="B26" s="18" t="s">
        <v>489</v>
      </c>
      <c r="C26" s="18" t="s">
        <v>502</v>
      </c>
      <c r="D26" s="18" t="s">
        <v>503</v>
      </c>
      <c r="E26" s="44" t="s">
        <v>372</v>
      </c>
      <c r="F26" s="18" t="s">
        <v>504</v>
      </c>
      <c r="G26" s="18" t="s">
        <v>505</v>
      </c>
    </row>
    <row r="27" spans="1:7" ht="108" customHeight="1" x14ac:dyDescent="0.25">
      <c r="A27" s="94"/>
      <c r="B27" s="18" t="s">
        <v>493</v>
      </c>
      <c r="C27" s="57" t="s">
        <v>506</v>
      </c>
      <c r="D27" s="57" t="s">
        <v>507</v>
      </c>
      <c r="E27" s="44" t="s">
        <v>508</v>
      </c>
      <c r="F27" s="57" t="s">
        <v>509</v>
      </c>
      <c r="G27" s="57" t="s">
        <v>510</v>
      </c>
    </row>
    <row r="28" spans="1:7" ht="81" customHeight="1" x14ac:dyDescent="0.25">
      <c r="A28" s="94"/>
      <c r="B28" s="18" t="s">
        <v>496</v>
      </c>
      <c r="C28" s="18" t="s">
        <v>511</v>
      </c>
      <c r="D28" s="18" t="s">
        <v>512</v>
      </c>
      <c r="E28" s="44" t="s">
        <v>513</v>
      </c>
      <c r="F28" s="18" t="s">
        <v>514</v>
      </c>
      <c r="G28" s="18" t="s">
        <v>515</v>
      </c>
    </row>
    <row r="29" spans="1:7" ht="81" customHeight="1" x14ac:dyDescent="0.25">
      <c r="A29" s="95"/>
      <c r="B29" s="18" t="s">
        <v>499</v>
      </c>
      <c r="C29" s="18" t="s">
        <v>516</v>
      </c>
      <c r="D29" s="18" t="s">
        <v>517</v>
      </c>
      <c r="E29" s="44" t="s">
        <v>513</v>
      </c>
      <c r="F29" s="57" t="s">
        <v>518</v>
      </c>
      <c r="G29" s="57" t="s">
        <v>519</v>
      </c>
    </row>
    <row r="30" spans="1:7" x14ac:dyDescent="0.25">
      <c r="A30" s="127" t="s">
        <v>86</v>
      </c>
      <c r="B30" s="121" t="s">
        <v>122</v>
      </c>
      <c r="C30" s="88"/>
      <c r="D30" s="88"/>
      <c r="E30" s="88"/>
      <c r="F30" s="88"/>
      <c r="G30" s="89"/>
    </row>
    <row r="31" spans="1:7" x14ac:dyDescent="0.25">
      <c r="A31" s="94"/>
      <c r="B31" s="123" t="s">
        <v>123</v>
      </c>
      <c r="C31" s="88"/>
      <c r="D31" s="88"/>
      <c r="E31" s="88"/>
      <c r="F31" s="88"/>
      <c r="G31" s="89"/>
    </row>
    <row r="32" spans="1:7" x14ac:dyDescent="0.25">
      <c r="A32" s="94"/>
      <c r="B32" s="63" t="s">
        <v>124</v>
      </c>
      <c r="C32" s="123" t="s">
        <v>125</v>
      </c>
      <c r="D32" s="88"/>
      <c r="E32" s="89"/>
      <c r="F32" s="34" t="s">
        <v>126</v>
      </c>
      <c r="G32" s="34" t="s">
        <v>127</v>
      </c>
    </row>
    <row r="33" spans="1:7" x14ac:dyDescent="0.25">
      <c r="A33" s="94"/>
      <c r="B33" s="20" t="s">
        <v>520</v>
      </c>
      <c r="C33" s="108" t="s">
        <v>86</v>
      </c>
      <c r="D33" s="88"/>
      <c r="E33" s="89"/>
      <c r="F33" s="17" t="s">
        <v>170</v>
      </c>
      <c r="G33" s="15"/>
    </row>
    <row r="34" spans="1:7" x14ac:dyDescent="0.25">
      <c r="A34" s="94"/>
      <c r="B34" s="109" t="s">
        <v>137</v>
      </c>
      <c r="C34" s="88"/>
      <c r="D34" s="88"/>
      <c r="E34" s="88"/>
      <c r="F34" s="88"/>
      <c r="G34" s="89"/>
    </row>
    <row r="35" spans="1:7" x14ac:dyDescent="0.25">
      <c r="A35" s="94"/>
      <c r="B35" s="21" t="s">
        <v>124</v>
      </c>
      <c r="C35" s="21" t="s">
        <v>138</v>
      </c>
      <c r="D35" s="21" t="s">
        <v>19</v>
      </c>
      <c r="E35" s="21" t="s">
        <v>139</v>
      </c>
      <c r="F35" s="21" t="s">
        <v>140</v>
      </c>
      <c r="G35" s="21" t="s">
        <v>141</v>
      </c>
    </row>
    <row r="36" spans="1:7" ht="108" customHeight="1" x14ac:dyDescent="0.25">
      <c r="A36" s="128"/>
      <c r="B36" s="18" t="s">
        <v>520</v>
      </c>
      <c r="C36" s="18" t="s">
        <v>86</v>
      </c>
      <c r="D36" s="18" t="s">
        <v>521</v>
      </c>
      <c r="E36" s="44" t="s">
        <v>522</v>
      </c>
      <c r="F36" s="57" t="s">
        <v>688</v>
      </c>
      <c r="G36" s="18" t="s">
        <v>524</v>
      </c>
    </row>
    <row r="37" spans="1:7" x14ac:dyDescent="0.25">
      <c r="A37" s="127" t="s">
        <v>88</v>
      </c>
      <c r="B37" s="121" t="s">
        <v>122</v>
      </c>
      <c r="C37" s="88"/>
      <c r="D37" s="88"/>
      <c r="E37" s="88"/>
      <c r="F37" s="88"/>
      <c r="G37" s="89"/>
    </row>
    <row r="38" spans="1:7" x14ac:dyDescent="0.25">
      <c r="A38" s="94"/>
      <c r="B38" s="123" t="s">
        <v>123</v>
      </c>
      <c r="C38" s="88"/>
      <c r="D38" s="88"/>
      <c r="E38" s="88"/>
      <c r="F38" s="88"/>
      <c r="G38" s="89"/>
    </row>
    <row r="39" spans="1:7" x14ac:dyDescent="0.25">
      <c r="A39" s="94"/>
      <c r="B39" s="63" t="s">
        <v>124</v>
      </c>
      <c r="C39" s="123" t="s">
        <v>125</v>
      </c>
      <c r="D39" s="88"/>
      <c r="E39" s="89"/>
      <c r="F39" s="34" t="s">
        <v>126</v>
      </c>
      <c r="G39" s="34" t="s">
        <v>127</v>
      </c>
    </row>
    <row r="40" spans="1:7" x14ac:dyDescent="0.25">
      <c r="A40" s="94"/>
      <c r="B40" s="20" t="s">
        <v>525</v>
      </c>
      <c r="C40" s="108" t="s">
        <v>88</v>
      </c>
      <c r="D40" s="88"/>
      <c r="E40" s="89"/>
      <c r="F40" s="17" t="s">
        <v>170</v>
      </c>
      <c r="G40" s="15"/>
    </row>
    <row r="41" spans="1:7" x14ac:dyDescent="0.25">
      <c r="A41" s="94"/>
      <c r="B41" s="109" t="s">
        <v>137</v>
      </c>
      <c r="C41" s="88"/>
      <c r="D41" s="88"/>
      <c r="E41" s="88"/>
      <c r="F41" s="88"/>
      <c r="G41" s="89"/>
    </row>
    <row r="42" spans="1:7" x14ac:dyDescent="0.25">
      <c r="A42" s="94"/>
      <c r="B42" s="21" t="s">
        <v>124</v>
      </c>
      <c r="C42" s="21" t="s">
        <v>138</v>
      </c>
      <c r="D42" s="21" t="s">
        <v>19</v>
      </c>
      <c r="E42" s="21" t="s">
        <v>139</v>
      </c>
      <c r="F42" s="21" t="s">
        <v>140</v>
      </c>
      <c r="G42" s="21" t="s">
        <v>141</v>
      </c>
    </row>
    <row r="43" spans="1:7" ht="94.5" customHeight="1" x14ac:dyDescent="0.25">
      <c r="A43" s="128"/>
      <c r="B43" s="18" t="s">
        <v>525</v>
      </c>
      <c r="C43" s="18" t="s">
        <v>88</v>
      </c>
      <c r="D43" s="18" t="s">
        <v>526</v>
      </c>
      <c r="E43" s="44" t="s">
        <v>527</v>
      </c>
      <c r="F43" s="18" t="s">
        <v>528</v>
      </c>
      <c r="G43" s="18" t="s">
        <v>529</v>
      </c>
    </row>
    <row r="44" spans="1:7" x14ac:dyDescent="0.25">
      <c r="A44" s="127" t="s">
        <v>90</v>
      </c>
      <c r="B44" s="129" t="s">
        <v>122</v>
      </c>
      <c r="C44" s="80"/>
      <c r="D44" s="80"/>
      <c r="E44" s="80"/>
      <c r="F44" s="80"/>
      <c r="G44" s="92"/>
    </row>
    <row r="45" spans="1:7" x14ac:dyDescent="0.25">
      <c r="A45" s="94"/>
      <c r="B45" s="123" t="s">
        <v>123</v>
      </c>
      <c r="C45" s="88"/>
      <c r="D45" s="88"/>
      <c r="E45" s="88"/>
      <c r="F45" s="88"/>
      <c r="G45" s="89"/>
    </row>
    <row r="46" spans="1:7" x14ac:dyDescent="0.25">
      <c r="A46" s="94"/>
      <c r="B46" s="63" t="s">
        <v>124</v>
      </c>
      <c r="C46" s="123" t="s">
        <v>125</v>
      </c>
      <c r="D46" s="88"/>
      <c r="E46" s="89"/>
      <c r="F46" s="34" t="s">
        <v>126</v>
      </c>
      <c r="G46" s="34" t="s">
        <v>127</v>
      </c>
    </row>
    <row r="47" spans="1:7" x14ac:dyDescent="0.25">
      <c r="A47" s="94"/>
      <c r="B47" s="20" t="s">
        <v>530</v>
      </c>
      <c r="C47" s="108" t="s">
        <v>90</v>
      </c>
      <c r="D47" s="88"/>
      <c r="E47" s="89"/>
      <c r="F47" s="17"/>
      <c r="G47" s="15"/>
    </row>
    <row r="48" spans="1:7" x14ac:dyDescent="0.25">
      <c r="A48" s="94"/>
      <c r="B48" s="109" t="s">
        <v>137</v>
      </c>
      <c r="C48" s="88"/>
      <c r="D48" s="88"/>
      <c r="E48" s="88"/>
      <c r="F48" s="88"/>
      <c r="G48" s="89"/>
    </row>
    <row r="49" spans="1:7" x14ac:dyDescent="0.25">
      <c r="A49" s="94"/>
      <c r="B49" s="21" t="s">
        <v>124</v>
      </c>
      <c r="C49" s="21" t="s">
        <v>138</v>
      </c>
      <c r="D49" s="21" t="s">
        <v>19</v>
      </c>
      <c r="E49" s="21" t="s">
        <v>139</v>
      </c>
      <c r="F49" s="21" t="s">
        <v>140</v>
      </c>
      <c r="G49" s="21" t="s">
        <v>141</v>
      </c>
    </row>
    <row r="50" spans="1:7" ht="108" customHeight="1" x14ac:dyDescent="0.25">
      <c r="A50" s="128"/>
      <c r="B50" s="18" t="s">
        <v>530</v>
      </c>
      <c r="C50" s="18" t="s">
        <v>90</v>
      </c>
      <c r="D50" s="18" t="s">
        <v>531</v>
      </c>
      <c r="E50" s="44" t="s">
        <v>527</v>
      </c>
      <c r="F50" s="18" t="s">
        <v>532</v>
      </c>
      <c r="G50" s="18" t="s">
        <v>533</v>
      </c>
    </row>
    <row r="51" spans="1:7" x14ac:dyDescent="0.25">
      <c r="A51" s="127" t="s">
        <v>92</v>
      </c>
      <c r="B51" s="121" t="s">
        <v>122</v>
      </c>
      <c r="C51" s="88"/>
      <c r="D51" s="88"/>
      <c r="E51" s="88"/>
      <c r="F51" s="88"/>
      <c r="G51" s="89"/>
    </row>
    <row r="52" spans="1:7" x14ac:dyDescent="0.25">
      <c r="A52" s="94"/>
      <c r="B52" s="123" t="s">
        <v>123</v>
      </c>
      <c r="C52" s="88"/>
      <c r="D52" s="88"/>
      <c r="E52" s="88"/>
      <c r="F52" s="88"/>
      <c r="G52" s="89"/>
    </row>
    <row r="53" spans="1:7" x14ac:dyDescent="0.25">
      <c r="A53" s="94"/>
      <c r="B53" s="63" t="s">
        <v>124</v>
      </c>
      <c r="C53" s="123" t="s">
        <v>125</v>
      </c>
      <c r="D53" s="88"/>
      <c r="E53" s="89"/>
      <c r="F53" s="34" t="s">
        <v>126</v>
      </c>
      <c r="G53" s="34" t="s">
        <v>127</v>
      </c>
    </row>
    <row r="54" spans="1:7" x14ac:dyDescent="0.25">
      <c r="A54" s="94"/>
      <c r="B54" s="20" t="s">
        <v>534</v>
      </c>
      <c r="C54" s="108" t="s">
        <v>92</v>
      </c>
      <c r="D54" s="88"/>
      <c r="E54" s="89"/>
      <c r="F54" s="17"/>
      <c r="G54" s="15"/>
    </row>
    <row r="55" spans="1:7" x14ac:dyDescent="0.25">
      <c r="A55" s="94"/>
      <c r="B55" s="109" t="s">
        <v>137</v>
      </c>
      <c r="C55" s="88"/>
      <c r="D55" s="88"/>
      <c r="E55" s="88"/>
      <c r="F55" s="88"/>
      <c r="G55" s="89"/>
    </row>
    <row r="56" spans="1:7" x14ac:dyDescent="0.25">
      <c r="A56" s="94"/>
      <c r="B56" s="21" t="s">
        <v>124</v>
      </c>
      <c r="C56" s="21" t="s">
        <v>138</v>
      </c>
      <c r="D56" s="21" t="s">
        <v>19</v>
      </c>
      <c r="E56" s="21" t="s">
        <v>139</v>
      </c>
      <c r="F56" s="21" t="s">
        <v>140</v>
      </c>
      <c r="G56" s="21" t="s">
        <v>141</v>
      </c>
    </row>
    <row r="57" spans="1:7" ht="108" customHeight="1" x14ac:dyDescent="0.25">
      <c r="A57" s="128"/>
      <c r="B57" s="18" t="s">
        <v>534</v>
      </c>
      <c r="C57" s="18" t="s">
        <v>92</v>
      </c>
      <c r="D57" s="18" t="s">
        <v>535</v>
      </c>
      <c r="E57" s="44" t="s">
        <v>536</v>
      </c>
      <c r="F57" s="18" t="s">
        <v>537</v>
      </c>
      <c r="G57" s="18" t="s">
        <v>538</v>
      </c>
    </row>
    <row r="58" spans="1:7" x14ac:dyDescent="0.25">
      <c r="A58" s="127" t="s">
        <v>94</v>
      </c>
      <c r="B58" s="121" t="s">
        <v>122</v>
      </c>
      <c r="C58" s="88"/>
      <c r="D58" s="88"/>
      <c r="E58" s="88"/>
      <c r="F58" s="88"/>
      <c r="G58" s="89"/>
    </row>
    <row r="59" spans="1:7" x14ac:dyDescent="0.25">
      <c r="A59" s="94"/>
      <c r="B59" s="123" t="s">
        <v>123</v>
      </c>
      <c r="C59" s="88"/>
      <c r="D59" s="88"/>
      <c r="E59" s="88"/>
      <c r="F59" s="88"/>
      <c r="G59" s="89"/>
    </row>
    <row r="60" spans="1:7" x14ac:dyDescent="0.25">
      <c r="A60" s="94"/>
      <c r="B60" s="63" t="s">
        <v>124</v>
      </c>
      <c r="C60" s="123" t="s">
        <v>125</v>
      </c>
      <c r="D60" s="88"/>
      <c r="E60" s="89"/>
      <c r="F60" s="34" t="s">
        <v>126</v>
      </c>
      <c r="G60" s="34" t="s">
        <v>127</v>
      </c>
    </row>
    <row r="61" spans="1:7" x14ac:dyDescent="0.25">
      <c r="A61" s="94"/>
      <c r="B61" s="20" t="s">
        <v>539</v>
      </c>
      <c r="C61" s="108" t="s">
        <v>94</v>
      </c>
      <c r="D61" s="88"/>
      <c r="E61" s="89"/>
      <c r="F61" s="17"/>
      <c r="G61" s="15"/>
    </row>
    <row r="62" spans="1:7" x14ac:dyDescent="0.25">
      <c r="A62" s="94"/>
      <c r="B62" s="109" t="s">
        <v>137</v>
      </c>
      <c r="C62" s="88"/>
      <c r="D62" s="88"/>
      <c r="E62" s="88"/>
      <c r="F62" s="88"/>
      <c r="G62" s="89"/>
    </row>
    <row r="63" spans="1:7" x14ac:dyDescent="0.25">
      <c r="A63" s="94"/>
      <c r="B63" s="21" t="s">
        <v>124</v>
      </c>
      <c r="C63" s="21" t="s">
        <v>138</v>
      </c>
      <c r="D63" s="21" t="s">
        <v>19</v>
      </c>
      <c r="E63" s="21" t="s">
        <v>139</v>
      </c>
      <c r="F63" s="21" t="s">
        <v>140</v>
      </c>
      <c r="G63" s="21" t="s">
        <v>141</v>
      </c>
    </row>
    <row r="64" spans="1:7" ht="108" customHeight="1" x14ac:dyDescent="0.25">
      <c r="A64" s="128"/>
      <c r="B64" s="18" t="s">
        <v>539</v>
      </c>
      <c r="C64" s="18" t="s">
        <v>94</v>
      </c>
      <c r="D64" s="18" t="s">
        <v>447</v>
      </c>
      <c r="E64" s="44" t="s">
        <v>536</v>
      </c>
      <c r="F64" s="57" t="s">
        <v>540</v>
      </c>
      <c r="G64" s="18" t="s">
        <v>541</v>
      </c>
    </row>
  </sheetData>
  <mergeCells count="60">
    <mergeCell ref="C16:D16"/>
    <mergeCell ref="E16:G16"/>
    <mergeCell ref="C22:E22"/>
    <mergeCell ref="C21:E21"/>
    <mergeCell ref="C46:E46"/>
    <mergeCell ref="B18:G18"/>
    <mergeCell ref="C19:E19"/>
    <mergeCell ref="C20:E20"/>
    <mergeCell ref="B24:G24"/>
    <mergeCell ref="C47:E47"/>
    <mergeCell ref="A8:A29"/>
    <mergeCell ref="C23:E23"/>
    <mergeCell ref="B8:G8"/>
    <mergeCell ref="B9:G9"/>
    <mergeCell ref="B10:G10"/>
    <mergeCell ref="B11:G11"/>
    <mergeCell ref="C12:D12"/>
    <mergeCell ref="E12:G12"/>
    <mergeCell ref="C13:D13"/>
    <mergeCell ref="E13:G13"/>
    <mergeCell ref="C14:D14"/>
    <mergeCell ref="E14:G14"/>
    <mergeCell ref="C15:D15"/>
    <mergeCell ref="E15:G15"/>
    <mergeCell ref="B17:G17"/>
    <mergeCell ref="F4:G4"/>
    <mergeCell ref="F5:G5"/>
    <mergeCell ref="F6:G6"/>
    <mergeCell ref="A1:A7"/>
    <mergeCell ref="F1:G1"/>
    <mergeCell ref="F2:G2"/>
    <mergeCell ref="F3:G3"/>
    <mergeCell ref="B48:G48"/>
    <mergeCell ref="A30:A36"/>
    <mergeCell ref="B30:G30"/>
    <mergeCell ref="B31:G31"/>
    <mergeCell ref="C32:E32"/>
    <mergeCell ref="C33:E33"/>
    <mergeCell ref="B34:G34"/>
    <mergeCell ref="A37:A43"/>
    <mergeCell ref="B37:G37"/>
    <mergeCell ref="B38:G38"/>
    <mergeCell ref="C39:E39"/>
    <mergeCell ref="C40:E40"/>
    <mergeCell ref="B41:G41"/>
    <mergeCell ref="A44:A50"/>
    <mergeCell ref="B44:G44"/>
    <mergeCell ref="B45:G45"/>
    <mergeCell ref="A51:A57"/>
    <mergeCell ref="B51:G51"/>
    <mergeCell ref="C53:E53"/>
    <mergeCell ref="C54:E54"/>
    <mergeCell ref="B55:G55"/>
    <mergeCell ref="B52:G52"/>
    <mergeCell ref="A58:A64"/>
    <mergeCell ref="B58:G58"/>
    <mergeCell ref="B59:G59"/>
    <mergeCell ref="C60:E60"/>
    <mergeCell ref="C61:E61"/>
    <mergeCell ref="B62:G62"/>
  </mergeCells>
  <phoneticPr fontId="1" type="noConversion"/>
  <dataValidations count="1">
    <dataValidation type="list" allowBlank="1" showInputMessage="1" showErrorMessage="1" sqref="C2:C7">
      <formula1>"流程图,状态机,等价类划分&amp;数据组合,直接分析"</formula1>
    </dataValidation>
  </dataValidations>
  <pageMargins left="0.7" right="0.7" top="0.75" bottom="0.75" header="0.3" footer="0.3"/>
  <pageSetup paperSize="9" orientation="portrait"/>
  <drawing r:id="rId1"/>
  <legacyDrawing r:id="rId2"/>
  <oleObjects>
    <mc:AlternateContent xmlns:mc="http://schemas.openxmlformats.org/markup-compatibility/2006">
      <mc:Choice Requires="x14">
        <oleObject progId="Visio.Drawing.15" shapeId="4097" r:id="rId3">
          <objectPr defaultSize="0" autoPict="0" r:id="rId4">
            <anchor moveWithCells="1">
              <from>
                <xdr:col>1</xdr:col>
                <xdr:colOff>1346200</xdr:colOff>
                <xdr:row>9</xdr:row>
                <xdr:rowOff>69850</xdr:rowOff>
              </from>
              <to>
                <xdr:col>5</xdr:col>
                <xdr:colOff>869950</xdr:colOff>
                <xdr:row>9</xdr:row>
                <xdr:rowOff>5162550</xdr:rowOff>
              </to>
            </anchor>
          </objectPr>
        </oleObject>
      </mc:Choice>
      <mc:Fallback>
        <oleObject progId="Visio.Drawing.15" shapeId="4097" r:id="rId3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G27"/>
  <sheetViews>
    <sheetView workbookViewId="0">
      <selection activeCell="G27" sqref="G27"/>
    </sheetView>
  </sheetViews>
  <sheetFormatPr defaultColWidth="9" defaultRowHeight="14" x14ac:dyDescent="0.25"/>
  <cols>
    <col min="1" max="1" width="15" style="61" customWidth="1"/>
    <col min="2" max="2" width="28" style="61" bestFit="1" customWidth="1"/>
    <col min="3" max="3" width="23.453125" style="61" bestFit="1" customWidth="1"/>
    <col min="4" max="4" width="16.90625" style="61" customWidth="1"/>
    <col min="5" max="5" width="17.36328125" style="61" bestFit="1" customWidth="1"/>
    <col min="6" max="6" width="41" style="61" customWidth="1"/>
    <col min="7" max="7" width="44.36328125" style="61" customWidth="1"/>
    <col min="8" max="21" width="9" style="61" customWidth="1"/>
    <col min="22" max="16384" width="9" style="61"/>
  </cols>
  <sheetData>
    <row r="1" spans="1:7" x14ac:dyDescent="0.25">
      <c r="A1" s="130" t="s">
        <v>105</v>
      </c>
      <c r="B1" s="68" t="s">
        <v>15</v>
      </c>
      <c r="C1" s="68" t="s">
        <v>16</v>
      </c>
      <c r="D1" s="68" t="s">
        <v>17</v>
      </c>
      <c r="E1" s="68" t="s">
        <v>18</v>
      </c>
      <c r="F1" s="132" t="s">
        <v>19</v>
      </c>
      <c r="G1" s="89"/>
    </row>
    <row r="2" spans="1:7" x14ac:dyDescent="0.25">
      <c r="A2" s="94"/>
      <c r="B2" s="51" t="s">
        <v>96</v>
      </c>
      <c r="C2" s="51" t="s">
        <v>26</v>
      </c>
      <c r="D2" s="51"/>
      <c r="E2" s="49">
        <v>2</v>
      </c>
      <c r="F2" s="143" t="s">
        <v>97</v>
      </c>
      <c r="G2" s="80"/>
    </row>
    <row r="3" spans="1:7" x14ac:dyDescent="0.25">
      <c r="A3" s="94"/>
      <c r="B3" s="51" t="s">
        <v>98</v>
      </c>
      <c r="C3" s="51" t="s">
        <v>26</v>
      </c>
      <c r="D3" s="51"/>
      <c r="E3" s="49">
        <v>1</v>
      </c>
      <c r="F3" s="143" t="s">
        <v>99</v>
      </c>
      <c r="G3" s="80"/>
    </row>
    <row r="4" spans="1:7" x14ac:dyDescent="0.25">
      <c r="A4" s="128"/>
      <c r="B4" s="51" t="s">
        <v>100</v>
      </c>
      <c r="C4" s="51" t="s">
        <v>26</v>
      </c>
      <c r="D4" s="51"/>
      <c r="E4" s="49">
        <v>1</v>
      </c>
      <c r="F4" s="143" t="s">
        <v>101</v>
      </c>
      <c r="G4" s="80"/>
    </row>
    <row r="5" spans="1:7" x14ac:dyDescent="0.25">
      <c r="A5" s="127" t="s">
        <v>96</v>
      </c>
      <c r="B5" s="121" t="s">
        <v>122</v>
      </c>
      <c r="C5" s="88"/>
      <c r="D5" s="88"/>
      <c r="E5" s="88"/>
      <c r="F5" s="88"/>
      <c r="G5" s="89"/>
    </row>
    <row r="6" spans="1:7" x14ac:dyDescent="0.25">
      <c r="A6" s="94"/>
      <c r="B6" s="123" t="s">
        <v>123</v>
      </c>
      <c r="C6" s="88"/>
      <c r="D6" s="88"/>
      <c r="E6" s="88"/>
      <c r="F6" s="88"/>
      <c r="G6" s="89"/>
    </row>
    <row r="7" spans="1:7" x14ac:dyDescent="0.25">
      <c r="A7" s="94"/>
      <c r="B7" s="63" t="s">
        <v>124</v>
      </c>
      <c r="C7" s="123" t="s">
        <v>125</v>
      </c>
      <c r="D7" s="88"/>
      <c r="E7" s="89"/>
      <c r="F7" s="34" t="s">
        <v>126</v>
      </c>
      <c r="G7" s="34" t="s">
        <v>127</v>
      </c>
    </row>
    <row r="8" spans="1:7" x14ac:dyDescent="0.25">
      <c r="A8" s="94"/>
      <c r="B8" s="20" t="s">
        <v>542</v>
      </c>
      <c r="C8" s="108" t="s">
        <v>543</v>
      </c>
      <c r="D8" s="88"/>
      <c r="E8" s="89"/>
      <c r="F8" s="17" t="s">
        <v>544</v>
      </c>
      <c r="G8" s="17"/>
    </row>
    <row r="9" spans="1:7" x14ac:dyDescent="0.25">
      <c r="A9" s="94"/>
      <c r="B9" s="20" t="s">
        <v>545</v>
      </c>
      <c r="C9" s="108" t="s">
        <v>546</v>
      </c>
      <c r="D9" s="88"/>
      <c r="E9" s="89"/>
      <c r="F9" s="17" t="s">
        <v>547</v>
      </c>
      <c r="G9" s="15"/>
    </row>
    <row r="10" spans="1:7" x14ac:dyDescent="0.25">
      <c r="A10" s="94"/>
      <c r="B10" s="109" t="s">
        <v>137</v>
      </c>
      <c r="C10" s="88"/>
      <c r="D10" s="88"/>
      <c r="E10" s="88"/>
      <c r="F10" s="88"/>
      <c r="G10" s="89"/>
    </row>
    <row r="11" spans="1:7" x14ac:dyDescent="0.25">
      <c r="A11" s="94"/>
      <c r="B11" s="21" t="s">
        <v>124</v>
      </c>
      <c r="C11" s="21" t="s">
        <v>138</v>
      </c>
      <c r="D11" s="21" t="s">
        <v>19</v>
      </c>
      <c r="E11" s="21" t="s">
        <v>139</v>
      </c>
      <c r="F11" s="21" t="s">
        <v>140</v>
      </c>
      <c r="G11" s="21" t="s">
        <v>141</v>
      </c>
    </row>
    <row r="12" spans="1:7" ht="108" customHeight="1" x14ac:dyDescent="0.25">
      <c r="A12" s="94"/>
      <c r="B12" s="18" t="s">
        <v>542</v>
      </c>
      <c r="C12" s="18" t="s">
        <v>548</v>
      </c>
      <c r="D12" s="18" t="s">
        <v>549</v>
      </c>
      <c r="E12" s="44" t="s">
        <v>513</v>
      </c>
      <c r="F12" s="18" t="s">
        <v>550</v>
      </c>
      <c r="G12" s="18" t="s">
        <v>551</v>
      </c>
    </row>
    <row r="13" spans="1:7" ht="94.5" customHeight="1" x14ac:dyDescent="0.25">
      <c r="A13" s="128"/>
      <c r="B13" s="18" t="s">
        <v>545</v>
      </c>
      <c r="C13" s="18" t="s">
        <v>552</v>
      </c>
      <c r="D13" s="18" t="s">
        <v>553</v>
      </c>
      <c r="E13" s="44" t="s">
        <v>513</v>
      </c>
      <c r="F13" s="18" t="s">
        <v>554</v>
      </c>
      <c r="G13" s="18" t="s">
        <v>555</v>
      </c>
    </row>
    <row r="14" spans="1:7" x14ac:dyDescent="0.25">
      <c r="A14" s="127" t="s">
        <v>98</v>
      </c>
      <c r="B14" s="121" t="s">
        <v>122</v>
      </c>
      <c r="C14" s="88"/>
      <c r="D14" s="88"/>
      <c r="E14" s="88"/>
      <c r="F14" s="88"/>
      <c r="G14" s="89"/>
    </row>
    <row r="15" spans="1:7" x14ac:dyDescent="0.25">
      <c r="A15" s="94"/>
      <c r="B15" s="123" t="s">
        <v>123</v>
      </c>
      <c r="C15" s="88"/>
      <c r="D15" s="88"/>
      <c r="E15" s="88"/>
      <c r="F15" s="88"/>
      <c r="G15" s="89"/>
    </row>
    <row r="16" spans="1:7" x14ac:dyDescent="0.25">
      <c r="A16" s="94"/>
      <c r="B16" s="63" t="s">
        <v>124</v>
      </c>
      <c r="C16" s="123" t="s">
        <v>125</v>
      </c>
      <c r="D16" s="88"/>
      <c r="E16" s="89"/>
      <c r="F16" s="34" t="s">
        <v>126</v>
      </c>
      <c r="G16" s="34" t="s">
        <v>127</v>
      </c>
    </row>
    <row r="17" spans="1:7" x14ac:dyDescent="0.25">
      <c r="A17" s="94"/>
      <c r="B17" s="20" t="s">
        <v>556</v>
      </c>
      <c r="C17" s="108" t="s">
        <v>98</v>
      </c>
      <c r="D17" s="88"/>
      <c r="E17" s="89"/>
      <c r="F17" s="17" t="s">
        <v>170</v>
      </c>
      <c r="G17" s="15"/>
    </row>
    <row r="18" spans="1:7" x14ac:dyDescent="0.25">
      <c r="A18" s="94"/>
      <c r="B18" s="109" t="s">
        <v>137</v>
      </c>
      <c r="C18" s="88"/>
      <c r="D18" s="88"/>
      <c r="E18" s="88"/>
      <c r="F18" s="88"/>
      <c r="G18" s="89"/>
    </row>
    <row r="19" spans="1:7" x14ac:dyDescent="0.25">
      <c r="A19" s="94"/>
      <c r="B19" s="21" t="s">
        <v>124</v>
      </c>
      <c r="C19" s="21" t="s">
        <v>138</v>
      </c>
      <c r="D19" s="21" t="s">
        <v>19</v>
      </c>
      <c r="E19" s="21" t="s">
        <v>139</v>
      </c>
      <c r="F19" s="21" t="s">
        <v>140</v>
      </c>
      <c r="G19" s="21" t="s">
        <v>141</v>
      </c>
    </row>
    <row r="20" spans="1:7" ht="135" customHeight="1" x14ac:dyDescent="0.25">
      <c r="A20" s="128"/>
      <c r="B20" s="18" t="s">
        <v>556</v>
      </c>
      <c r="C20" s="18" t="s">
        <v>98</v>
      </c>
      <c r="D20" s="18" t="s">
        <v>557</v>
      </c>
      <c r="E20" s="44" t="s">
        <v>558</v>
      </c>
      <c r="F20" s="18" t="s">
        <v>559</v>
      </c>
      <c r="G20" s="18" t="s">
        <v>560</v>
      </c>
    </row>
    <row r="21" spans="1:7" x14ac:dyDescent="0.25">
      <c r="A21" s="127" t="s">
        <v>100</v>
      </c>
      <c r="B21" s="121" t="s">
        <v>122</v>
      </c>
      <c r="C21" s="88"/>
      <c r="D21" s="88"/>
      <c r="E21" s="88"/>
      <c r="F21" s="88"/>
      <c r="G21" s="89"/>
    </row>
    <row r="22" spans="1:7" x14ac:dyDescent="0.25">
      <c r="A22" s="94"/>
      <c r="B22" s="123" t="s">
        <v>123</v>
      </c>
      <c r="C22" s="88"/>
      <c r="D22" s="88"/>
      <c r="E22" s="88"/>
      <c r="F22" s="88"/>
      <c r="G22" s="89"/>
    </row>
    <row r="23" spans="1:7" x14ac:dyDescent="0.25">
      <c r="A23" s="94"/>
      <c r="B23" s="63" t="s">
        <v>124</v>
      </c>
      <c r="C23" s="123" t="s">
        <v>125</v>
      </c>
      <c r="D23" s="88"/>
      <c r="E23" s="89"/>
      <c r="F23" s="34" t="s">
        <v>126</v>
      </c>
      <c r="G23" s="34" t="s">
        <v>127</v>
      </c>
    </row>
    <row r="24" spans="1:7" x14ac:dyDescent="0.25">
      <c r="A24" s="94"/>
      <c r="B24" s="20" t="s">
        <v>561</v>
      </c>
      <c r="C24" s="108" t="s">
        <v>100</v>
      </c>
      <c r="D24" s="88"/>
      <c r="E24" s="89"/>
      <c r="F24" s="17" t="s">
        <v>170</v>
      </c>
      <c r="G24" s="15"/>
    </row>
    <row r="25" spans="1:7" x14ac:dyDescent="0.25">
      <c r="A25" s="94"/>
      <c r="B25" s="109" t="s">
        <v>137</v>
      </c>
      <c r="C25" s="88"/>
      <c r="D25" s="88"/>
      <c r="E25" s="88"/>
      <c r="F25" s="88"/>
      <c r="G25" s="89"/>
    </row>
    <row r="26" spans="1:7" x14ac:dyDescent="0.25">
      <c r="A26" s="94"/>
      <c r="B26" s="21" t="s">
        <v>124</v>
      </c>
      <c r="C26" s="21" t="s">
        <v>138</v>
      </c>
      <c r="D26" s="21" t="s">
        <v>19</v>
      </c>
      <c r="E26" s="21" t="s">
        <v>139</v>
      </c>
      <c r="F26" s="21" t="s">
        <v>140</v>
      </c>
      <c r="G26" s="21" t="s">
        <v>141</v>
      </c>
    </row>
    <row r="27" spans="1:7" ht="94.5" customHeight="1" x14ac:dyDescent="0.25">
      <c r="A27" s="128"/>
      <c r="B27" s="18" t="s">
        <v>561</v>
      </c>
      <c r="C27" s="18" t="s">
        <v>100</v>
      </c>
      <c r="D27" s="18" t="s">
        <v>562</v>
      </c>
      <c r="E27" s="44" t="s">
        <v>513</v>
      </c>
      <c r="F27" s="18" t="s">
        <v>563</v>
      </c>
      <c r="G27" s="18" t="s">
        <v>564</v>
      </c>
    </row>
  </sheetData>
  <mergeCells count="24">
    <mergeCell ref="A14:A20"/>
    <mergeCell ref="B14:G14"/>
    <mergeCell ref="B15:G15"/>
    <mergeCell ref="C16:E16"/>
    <mergeCell ref="C17:E17"/>
    <mergeCell ref="B18:G18"/>
    <mergeCell ref="A21:A27"/>
    <mergeCell ref="B21:G21"/>
    <mergeCell ref="B22:G22"/>
    <mergeCell ref="C23:E23"/>
    <mergeCell ref="C24:E24"/>
    <mergeCell ref="B25:G25"/>
    <mergeCell ref="A5:A13"/>
    <mergeCell ref="B5:G5"/>
    <mergeCell ref="B6:G6"/>
    <mergeCell ref="C7:E7"/>
    <mergeCell ref="C8:E8"/>
    <mergeCell ref="C9:E9"/>
    <mergeCell ref="B10:G10"/>
    <mergeCell ref="A1:A4"/>
    <mergeCell ref="F1:G1"/>
    <mergeCell ref="F2:G2"/>
    <mergeCell ref="F3:G3"/>
    <mergeCell ref="F4:G4"/>
  </mergeCells>
  <phoneticPr fontId="1" type="noConversion"/>
  <dataValidations count="1">
    <dataValidation type="list" allowBlank="1" showInputMessage="1" showErrorMessage="1" sqref="C2:C4">
      <formula1>"流程图,状态机,等价类划分&amp;数据组合,直接分析"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V75"/>
  <sheetViews>
    <sheetView tabSelected="1" topLeftCell="A2" workbookViewId="0">
      <pane xSplit="6" topLeftCell="G1" activePane="topRight" state="frozen"/>
      <selection pane="topRight" activeCell="F75" sqref="F72:M75"/>
    </sheetView>
  </sheetViews>
  <sheetFormatPr defaultRowHeight="14.25" customHeight="1" x14ac:dyDescent="0.25"/>
  <cols>
    <col min="4" max="4" width="9" style="61" customWidth="1"/>
    <col min="5" max="5" width="10.26953125" style="43" customWidth="1"/>
    <col min="6" max="6" width="45.36328125" style="19" customWidth="1"/>
    <col min="7" max="7" width="22" style="43" customWidth="1"/>
    <col min="8" max="8" width="10.36328125" style="46" customWidth="1"/>
    <col min="9" max="9" width="13.6328125" style="43" customWidth="1"/>
    <col min="10" max="10" width="10.453125" style="43" customWidth="1"/>
    <col min="11" max="11" width="11.90625" style="43" customWidth="1"/>
    <col min="12" max="12" width="14.36328125" style="43" customWidth="1"/>
    <col min="13" max="13" width="58.08984375" style="43" customWidth="1"/>
    <col min="14" max="14" width="38.26953125" style="43" customWidth="1"/>
    <col min="15" max="15" width="10" style="43" customWidth="1"/>
    <col min="16" max="16" width="14.453125" style="43" customWidth="1"/>
    <col min="17" max="17" width="7.453125" style="43" customWidth="1"/>
    <col min="18" max="18" width="8.26953125" style="32" customWidth="1"/>
    <col min="19" max="19" width="9.90625" style="43" customWidth="1"/>
    <col min="20" max="20" width="7.453125" style="43" customWidth="1"/>
    <col min="21" max="21" width="8.7265625" style="43" customWidth="1"/>
    <col min="22" max="22" width="7.453125" style="43" customWidth="1"/>
    <col min="23" max="47" width="8.7265625" style="61" customWidth="1"/>
  </cols>
  <sheetData>
    <row r="1" spans="1:48" ht="14.25" customHeight="1" x14ac:dyDescent="0.25">
      <c r="A1" s="70" t="s">
        <v>565</v>
      </c>
      <c r="B1" s="70" t="s">
        <v>566</v>
      </c>
      <c r="C1" s="70" t="s">
        <v>567</v>
      </c>
      <c r="D1" s="70" t="s">
        <v>13</v>
      </c>
      <c r="E1" s="70" t="s">
        <v>14</v>
      </c>
      <c r="F1" s="70" t="s">
        <v>568</v>
      </c>
      <c r="G1" s="70" t="s">
        <v>569</v>
      </c>
      <c r="H1" s="71" t="s">
        <v>570</v>
      </c>
      <c r="I1" s="70" t="s">
        <v>571</v>
      </c>
      <c r="J1" s="70" t="s">
        <v>572</v>
      </c>
      <c r="K1" s="70" t="s">
        <v>573</v>
      </c>
      <c r="L1" s="70" t="s">
        <v>139</v>
      </c>
      <c r="M1" s="70" t="s">
        <v>574</v>
      </c>
      <c r="N1" s="70" t="s">
        <v>575</v>
      </c>
      <c r="O1" s="70" t="s">
        <v>576</v>
      </c>
      <c r="P1" s="70" t="s">
        <v>577</v>
      </c>
      <c r="Q1" s="70" t="s">
        <v>578</v>
      </c>
      <c r="R1" s="70" t="s">
        <v>579</v>
      </c>
      <c r="S1" s="70" t="s">
        <v>580</v>
      </c>
      <c r="T1" s="70" t="s">
        <v>581</v>
      </c>
      <c r="U1" s="70" t="s">
        <v>582</v>
      </c>
      <c r="V1" s="70" t="s">
        <v>583</v>
      </c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3" t="s">
        <v>584</v>
      </c>
      <c r="AI1" s="73" t="s">
        <v>585</v>
      </c>
      <c r="AJ1" s="73" t="s">
        <v>586</v>
      </c>
      <c r="AK1" s="73" t="s">
        <v>587</v>
      </c>
      <c r="AL1" s="73" t="s">
        <v>588</v>
      </c>
      <c r="AM1" s="73" t="s">
        <v>589</v>
      </c>
      <c r="AN1" s="73" t="s">
        <v>590</v>
      </c>
      <c r="AO1" s="72"/>
      <c r="AP1" s="73" t="s">
        <v>591</v>
      </c>
      <c r="AQ1" s="73" t="s">
        <v>592</v>
      </c>
      <c r="AR1" s="73" t="s">
        <v>593</v>
      </c>
      <c r="AS1" s="73" t="s">
        <v>594</v>
      </c>
      <c r="AT1" s="73" t="s">
        <v>595</v>
      </c>
      <c r="AU1" s="73" t="s">
        <v>596</v>
      </c>
      <c r="AV1" s="61"/>
    </row>
    <row r="2" spans="1:48" s="61" customFormat="1" ht="14" x14ac:dyDescent="0.25">
      <c r="A2" s="72" t="s">
        <v>667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</row>
    <row r="3" spans="1:48" s="61" customFormat="1" ht="14" x14ac:dyDescent="0.25">
      <c r="A3" s="72"/>
      <c r="B3" s="72" t="s">
        <v>668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</row>
    <row r="4" spans="1:48" s="61" customFormat="1" ht="14" x14ac:dyDescent="0.25">
      <c r="A4" s="72"/>
      <c r="B4" s="72"/>
      <c r="C4" s="72" t="s">
        <v>669</v>
      </c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</row>
    <row r="5" spans="1:48" s="78" customFormat="1" ht="14" x14ac:dyDescent="0.25">
      <c r="A5" s="72"/>
      <c r="B5" s="72"/>
      <c r="C5" s="72"/>
      <c r="D5" s="72" t="s">
        <v>689</v>
      </c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</row>
    <row r="6" spans="1:48" s="78" customFormat="1" ht="14" x14ac:dyDescent="0.25">
      <c r="A6" s="72"/>
      <c r="B6" s="72"/>
      <c r="C6" s="72"/>
      <c r="D6" s="72"/>
      <c r="E6" s="72" t="s">
        <v>690</v>
      </c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</row>
    <row r="7" spans="1:48" s="78" customFormat="1" ht="14" x14ac:dyDescent="0.25">
      <c r="A7" s="72"/>
      <c r="B7" s="72"/>
      <c r="C7" s="72"/>
      <c r="D7" s="72"/>
      <c r="E7" s="72"/>
      <c r="F7" s="72" t="s">
        <v>263</v>
      </c>
      <c r="G7" s="72" t="s">
        <v>673</v>
      </c>
      <c r="H7" s="72">
        <v>1100101</v>
      </c>
      <c r="I7" s="72" t="s">
        <v>584</v>
      </c>
      <c r="J7" s="72"/>
      <c r="K7" s="72"/>
      <c r="L7" s="72" t="s">
        <v>264</v>
      </c>
      <c r="M7" s="72" t="s">
        <v>599</v>
      </c>
      <c r="N7" s="72" t="s">
        <v>266</v>
      </c>
      <c r="O7" s="72" t="s">
        <v>679</v>
      </c>
      <c r="P7" s="72" t="s">
        <v>680</v>
      </c>
      <c r="Q7" s="72"/>
      <c r="R7" s="72"/>
      <c r="S7" s="72"/>
      <c r="T7" s="72" t="s">
        <v>627</v>
      </c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</row>
    <row r="8" spans="1:48" s="78" customFormat="1" ht="14" x14ac:dyDescent="0.25">
      <c r="A8" s="72"/>
      <c r="B8" s="72"/>
      <c r="C8" s="72"/>
      <c r="D8" s="72"/>
      <c r="E8" s="72"/>
      <c r="F8" s="72" t="s">
        <v>267</v>
      </c>
      <c r="G8" s="72" t="s">
        <v>252</v>
      </c>
      <c r="H8" s="72">
        <v>1100102</v>
      </c>
      <c r="I8" s="72" t="s">
        <v>584</v>
      </c>
      <c r="J8" s="72"/>
      <c r="K8" s="72"/>
      <c r="L8" s="72" t="s">
        <v>264</v>
      </c>
      <c r="M8" s="72" t="s">
        <v>600</v>
      </c>
      <c r="N8" s="72" t="s">
        <v>270</v>
      </c>
      <c r="O8" s="72" t="s">
        <v>679</v>
      </c>
      <c r="P8" s="72" t="s">
        <v>680</v>
      </c>
      <c r="Q8" s="72"/>
      <c r="R8" s="72"/>
      <c r="S8" s="72"/>
      <c r="T8" s="72" t="s">
        <v>627</v>
      </c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</row>
    <row r="9" spans="1:48" s="78" customFormat="1" ht="14" x14ac:dyDescent="0.25">
      <c r="A9" s="72"/>
      <c r="B9" s="72"/>
      <c r="C9" s="72"/>
      <c r="D9" s="72"/>
      <c r="E9" s="72"/>
      <c r="F9" s="72" t="s">
        <v>271</v>
      </c>
      <c r="G9" s="72" t="s">
        <v>256</v>
      </c>
      <c r="H9" s="72">
        <v>1100103</v>
      </c>
      <c r="I9" s="72" t="s">
        <v>584</v>
      </c>
      <c r="J9" s="72"/>
      <c r="K9" s="72"/>
      <c r="L9" s="72" t="s">
        <v>264</v>
      </c>
      <c r="M9" s="72" t="s">
        <v>601</v>
      </c>
      <c r="N9" s="72" t="s">
        <v>270</v>
      </c>
      <c r="O9" s="72" t="s">
        <v>679</v>
      </c>
      <c r="P9" s="72" t="s">
        <v>680</v>
      </c>
      <c r="Q9" s="72"/>
      <c r="R9" s="72"/>
      <c r="S9" s="72"/>
      <c r="T9" s="72" t="s">
        <v>627</v>
      </c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</row>
    <row r="10" spans="1:48" s="78" customFormat="1" ht="14" x14ac:dyDescent="0.25">
      <c r="A10" s="72"/>
      <c r="B10" s="72"/>
      <c r="C10" s="72"/>
      <c r="D10" s="72"/>
      <c r="E10" s="72"/>
      <c r="F10" s="72" t="s">
        <v>273</v>
      </c>
      <c r="G10" s="72" t="s">
        <v>259</v>
      </c>
      <c r="H10" s="72">
        <v>1100104</v>
      </c>
      <c r="I10" s="72" t="s">
        <v>584</v>
      </c>
      <c r="J10" s="72"/>
      <c r="K10" s="72"/>
      <c r="L10" s="72" t="s">
        <v>264</v>
      </c>
      <c r="M10" s="72" t="s">
        <v>602</v>
      </c>
      <c r="N10" s="72" t="s">
        <v>270</v>
      </c>
      <c r="O10" s="72" t="s">
        <v>679</v>
      </c>
      <c r="P10" s="72" t="s">
        <v>680</v>
      </c>
      <c r="Q10" s="72"/>
      <c r="R10" s="72"/>
      <c r="S10" s="72"/>
      <c r="T10" s="72" t="s">
        <v>627</v>
      </c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</row>
    <row r="11" spans="1:48" s="78" customFormat="1" ht="14" x14ac:dyDescent="0.25">
      <c r="A11" s="72"/>
      <c r="B11" s="72"/>
      <c r="C11" s="72"/>
      <c r="D11" s="72"/>
      <c r="E11" s="72"/>
      <c r="F11" s="72" t="s">
        <v>80</v>
      </c>
      <c r="G11" s="72" t="s">
        <v>676</v>
      </c>
      <c r="H11" s="72">
        <v>1100140</v>
      </c>
      <c r="I11" s="72" t="s">
        <v>585</v>
      </c>
      <c r="J11" s="72"/>
      <c r="K11" s="72"/>
      <c r="L11" s="72" t="s">
        <v>474</v>
      </c>
      <c r="M11" s="72" t="s">
        <v>475</v>
      </c>
      <c r="N11" s="72" t="s">
        <v>476</v>
      </c>
      <c r="O11" s="72" t="s">
        <v>679</v>
      </c>
      <c r="P11" s="72" t="s">
        <v>680</v>
      </c>
      <c r="Q11" s="72"/>
      <c r="R11" s="72"/>
      <c r="S11" s="72"/>
      <c r="T11" s="72" t="s">
        <v>684</v>
      </c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</row>
    <row r="12" spans="1:48" ht="14" x14ac:dyDescent="0.25">
      <c r="A12" s="72"/>
      <c r="B12" s="72"/>
      <c r="C12" s="72"/>
      <c r="D12" s="72" t="s">
        <v>670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</row>
    <row r="13" spans="1:48" ht="14" x14ac:dyDescent="0.25">
      <c r="A13" s="72"/>
      <c r="B13" s="72"/>
      <c r="C13" s="72"/>
      <c r="D13" s="72"/>
      <c r="E13" s="72" t="s">
        <v>597</v>
      </c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</row>
    <row r="14" spans="1:48" ht="14" x14ac:dyDescent="0.25">
      <c r="A14" s="72"/>
      <c r="B14" s="72"/>
      <c r="C14" s="72"/>
      <c r="D14" s="72"/>
      <c r="E14" s="72"/>
      <c r="F14" s="72" t="s">
        <v>129</v>
      </c>
      <c r="G14" s="72" t="s">
        <v>671</v>
      </c>
      <c r="H14" s="72">
        <v>1101101</v>
      </c>
      <c r="I14" s="72" t="s">
        <v>586</v>
      </c>
      <c r="J14" s="72"/>
      <c r="K14" s="72"/>
      <c r="L14" s="72" t="s">
        <v>143</v>
      </c>
      <c r="M14" s="72" t="s">
        <v>144</v>
      </c>
      <c r="N14" s="72" t="s">
        <v>145</v>
      </c>
      <c r="O14" s="72" t="s">
        <v>679</v>
      </c>
      <c r="P14" s="72" t="s">
        <v>680</v>
      </c>
      <c r="Q14" s="72"/>
      <c r="R14" s="72"/>
      <c r="S14" s="72"/>
      <c r="T14" s="72" t="s">
        <v>627</v>
      </c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</row>
    <row r="15" spans="1:48" ht="14" x14ac:dyDescent="0.25">
      <c r="A15" s="72"/>
      <c r="B15" s="72"/>
      <c r="C15" s="72"/>
      <c r="D15" s="72"/>
      <c r="E15" s="72"/>
      <c r="F15" s="72" t="s">
        <v>146</v>
      </c>
      <c r="G15" s="72" t="s">
        <v>131</v>
      </c>
      <c r="H15" s="72">
        <v>1101102</v>
      </c>
      <c r="I15" s="72" t="s">
        <v>586</v>
      </c>
      <c r="J15" s="72"/>
      <c r="K15" s="72"/>
      <c r="L15" s="72" t="s">
        <v>148</v>
      </c>
      <c r="M15" s="72" t="s">
        <v>149</v>
      </c>
      <c r="N15" s="72" t="s">
        <v>150</v>
      </c>
      <c r="O15" s="72" t="s">
        <v>679</v>
      </c>
      <c r="P15" s="72" t="s">
        <v>680</v>
      </c>
      <c r="Q15" s="72"/>
      <c r="R15" s="72"/>
      <c r="S15" s="72"/>
      <c r="T15" s="72" t="s">
        <v>627</v>
      </c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</row>
    <row r="16" spans="1:48" ht="14" x14ac:dyDescent="0.25">
      <c r="A16" s="72"/>
      <c r="B16" s="72"/>
      <c r="C16" s="72"/>
      <c r="D16" s="72"/>
      <c r="E16" s="72"/>
      <c r="F16" s="72" t="s">
        <v>151</v>
      </c>
      <c r="G16" s="72" t="s">
        <v>134</v>
      </c>
      <c r="H16" s="72">
        <v>1101103</v>
      </c>
      <c r="I16" s="72" t="s">
        <v>586</v>
      </c>
      <c r="J16" s="72"/>
      <c r="K16" s="72"/>
      <c r="L16" s="72" t="s">
        <v>143</v>
      </c>
      <c r="M16" s="72" t="s">
        <v>153</v>
      </c>
      <c r="N16" s="72" t="s">
        <v>154</v>
      </c>
      <c r="O16" s="72" t="s">
        <v>679</v>
      </c>
      <c r="P16" s="72" t="s">
        <v>680</v>
      </c>
      <c r="Q16" s="72"/>
      <c r="R16" s="72"/>
      <c r="S16" s="72"/>
      <c r="T16" s="72" t="s">
        <v>627</v>
      </c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</row>
    <row r="17" spans="1:47" ht="14" x14ac:dyDescent="0.25">
      <c r="A17" s="72"/>
      <c r="B17" s="72"/>
      <c r="C17" s="72"/>
      <c r="D17" s="72"/>
      <c r="E17" s="72"/>
      <c r="F17" s="72" t="s">
        <v>156</v>
      </c>
      <c r="G17" s="72" t="s">
        <v>161</v>
      </c>
      <c r="H17" s="72">
        <v>1101104</v>
      </c>
      <c r="I17" s="72" t="s">
        <v>586</v>
      </c>
      <c r="J17" s="72"/>
      <c r="K17" s="72"/>
      <c r="L17" s="72" t="s">
        <v>158</v>
      </c>
      <c r="M17" s="72" t="s">
        <v>159</v>
      </c>
      <c r="N17" s="72" t="s">
        <v>160</v>
      </c>
      <c r="O17" s="72" t="s">
        <v>679</v>
      </c>
      <c r="P17" s="72" t="s">
        <v>680</v>
      </c>
      <c r="Q17" s="72"/>
      <c r="R17" s="72"/>
      <c r="S17" s="72"/>
      <c r="T17" s="72" t="s">
        <v>627</v>
      </c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</row>
    <row r="18" spans="1:47" ht="14" x14ac:dyDescent="0.25">
      <c r="A18" s="72"/>
      <c r="B18" s="72"/>
      <c r="C18" s="72"/>
      <c r="D18" s="72"/>
      <c r="E18" s="72"/>
      <c r="F18" s="72" t="s">
        <v>163</v>
      </c>
      <c r="G18" s="72" t="s">
        <v>168</v>
      </c>
      <c r="H18" s="72">
        <v>1101105</v>
      </c>
      <c r="I18" s="72" t="s">
        <v>586</v>
      </c>
      <c r="J18" s="72"/>
      <c r="K18" s="72"/>
      <c r="L18" s="72" t="s">
        <v>165</v>
      </c>
      <c r="M18" s="72" t="s">
        <v>166</v>
      </c>
      <c r="N18" s="72" t="s">
        <v>167</v>
      </c>
      <c r="O18" s="72" t="s">
        <v>679</v>
      </c>
      <c r="P18" s="72" t="s">
        <v>680</v>
      </c>
      <c r="Q18" s="72"/>
      <c r="R18" s="72"/>
      <c r="S18" s="72"/>
      <c r="T18" s="72" t="s">
        <v>627</v>
      </c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</row>
    <row r="19" spans="1:47" ht="14" x14ac:dyDescent="0.25">
      <c r="A19" s="72"/>
      <c r="B19" s="72"/>
      <c r="C19" s="72"/>
      <c r="D19" s="72"/>
      <c r="E19" s="72"/>
      <c r="F19" s="72" t="s">
        <v>171</v>
      </c>
      <c r="G19" s="72" t="s">
        <v>176</v>
      </c>
      <c r="H19" s="72">
        <v>1101106</v>
      </c>
      <c r="I19" s="72" t="s">
        <v>589</v>
      </c>
      <c r="J19" s="72"/>
      <c r="K19" s="72"/>
      <c r="L19" s="72" t="s">
        <v>173</v>
      </c>
      <c r="M19" s="72" t="s">
        <v>174</v>
      </c>
      <c r="N19" s="72" t="s">
        <v>175</v>
      </c>
      <c r="O19" s="72" t="s">
        <v>679</v>
      </c>
      <c r="P19" s="72" t="s">
        <v>680</v>
      </c>
      <c r="Q19" s="72"/>
      <c r="R19" s="72"/>
      <c r="S19" s="72"/>
      <c r="T19" s="72" t="s">
        <v>627</v>
      </c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</row>
    <row r="20" spans="1:47" ht="14" x14ac:dyDescent="0.25">
      <c r="A20" s="72"/>
      <c r="B20" s="72"/>
      <c r="C20" s="72"/>
      <c r="D20" s="72"/>
      <c r="E20" s="72"/>
      <c r="F20" s="72" t="s">
        <v>178</v>
      </c>
      <c r="G20" s="72" t="s">
        <v>183</v>
      </c>
      <c r="H20" s="72">
        <v>1101107</v>
      </c>
      <c r="I20" s="72" t="s">
        <v>589</v>
      </c>
      <c r="J20" s="72"/>
      <c r="K20" s="72"/>
      <c r="L20" s="72" t="s">
        <v>180</v>
      </c>
      <c r="M20" s="72" t="s">
        <v>181</v>
      </c>
      <c r="N20" s="72" t="s">
        <v>182</v>
      </c>
      <c r="O20" s="72" t="s">
        <v>679</v>
      </c>
      <c r="P20" s="72" t="s">
        <v>680</v>
      </c>
      <c r="Q20" s="72"/>
      <c r="R20" s="72"/>
      <c r="S20" s="72"/>
      <c r="T20" s="72" t="s">
        <v>627</v>
      </c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</row>
    <row r="21" spans="1:47" ht="14" x14ac:dyDescent="0.25">
      <c r="A21" s="72"/>
      <c r="B21" s="72"/>
      <c r="C21" s="72"/>
      <c r="D21" s="72"/>
      <c r="E21" s="72"/>
      <c r="F21" s="72" t="s">
        <v>185</v>
      </c>
      <c r="G21" s="72" t="s">
        <v>190</v>
      </c>
      <c r="H21" s="72">
        <v>1101108</v>
      </c>
      <c r="I21" s="72" t="s">
        <v>589</v>
      </c>
      <c r="J21" s="72"/>
      <c r="K21" s="72"/>
      <c r="L21" s="72" t="s">
        <v>187</v>
      </c>
      <c r="M21" s="72" t="s">
        <v>188</v>
      </c>
      <c r="N21" s="72" t="s">
        <v>189</v>
      </c>
      <c r="O21" s="72" t="s">
        <v>679</v>
      </c>
      <c r="P21" s="72" t="s">
        <v>680</v>
      </c>
      <c r="Q21" s="72"/>
      <c r="R21" s="72"/>
      <c r="S21" s="72"/>
      <c r="T21" s="72" t="s">
        <v>627</v>
      </c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</row>
    <row r="22" spans="1:47" ht="14" x14ac:dyDescent="0.25">
      <c r="A22" s="72"/>
      <c r="B22" s="72"/>
      <c r="C22" s="72"/>
      <c r="D22" s="72"/>
      <c r="E22" s="72"/>
      <c r="F22" s="72" t="s">
        <v>191</v>
      </c>
      <c r="G22" s="72" t="s">
        <v>196</v>
      </c>
      <c r="H22" s="72">
        <v>1101109</v>
      </c>
      <c r="I22" s="72" t="s">
        <v>589</v>
      </c>
      <c r="J22" s="72"/>
      <c r="K22" s="72"/>
      <c r="L22" s="72" t="s">
        <v>193</v>
      </c>
      <c r="M22" s="72" t="s">
        <v>194</v>
      </c>
      <c r="N22" s="72" t="s">
        <v>195</v>
      </c>
      <c r="O22" s="72" t="s">
        <v>679</v>
      </c>
      <c r="P22" s="72" t="s">
        <v>680</v>
      </c>
      <c r="Q22" s="72"/>
      <c r="R22" s="72"/>
      <c r="S22" s="72"/>
      <c r="T22" s="72" t="s">
        <v>627</v>
      </c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</row>
    <row r="23" spans="1:47" ht="14" x14ac:dyDescent="0.25">
      <c r="A23" s="72"/>
      <c r="B23" s="72"/>
      <c r="C23" s="72"/>
      <c r="D23" s="72"/>
      <c r="E23" s="72"/>
      <c r="F23" s="72" t="s">
        <v>197</v>
      </c>
      <c r="G23" s="72" t="s">
        <v>672</v>
      </c>
      <c r="H23" s="72">
        <v>1101110</v>
      </c>
      <c r="I23" s="72" t="s">
        <v>588</v>
      </c>
      <c r="J23" s="72"/>
      <c r="K23" s="72"/>
      <c r="L23" s="72" t="s">
        <v>199</v>
      </c>
      <c r="M23" s="72" t="s">
        <v>200</v>
      </c>
      <c r="N23" s="72" t="s">
        <v>201</v>
      </c>
      <c r="O23" s="72" t="s">
        <v>679</v>
      </c>
      <c r="P23" s="72" t="s">
        <v>680</v>
      </c>
      <c r="Q23" s="72"/>
      <c r="R23" s="72"/>
      <c r="S23" s="72"/>
      <c r="T23" s="72" t="s">
        <v>627</v>
      </c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</row>
    <row r="24" spans="1:47" ht="14" x14ac:dyDescent="0.25">
      <c r="A24" s="72"/>
      <c r="B24" s="72"/>
      <c r="C24" s="72"/>
      <c r="D24" s="72"/>
      <c r="E24" s="72" t="s">
        <v>598</v>
      </c>
      <c r="F24" s="72"/>
      <c r="G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</row>
    <row r="25" spans="1:47" ht="14" x14ac:dyDescent="0.25">
      <c r="A25" s="72"/>
      <c r="B25" s="72"/>
      <c r="C25" s="72"/>
      <c r="D25" s="72"/>
      <c r="E25" s="72"/>
      <c r="F25" s="72" t="s">
        <v>285</v>
      </c>
      <c r="G25" s="72" t="s">
        <v>276</v>
      </c>
      <c r="H25" s="72">
        <v>1101201</v>
      </c>
      <c r="I25" s="72" t="s">
        <v>586</v>
      </c>
      <c r="J25" s="72"/>
      <c r="K25" s="72"/>
      <c r="L25" s="72" t="s">
        <v>287</v>
      </c>
      <c r="M25" s="72" t="s">
        <v>288</v>
      </c>
      <c r="N25" s="72" t="s">
        <v>289</v>
      </c>
      <c r="O25" s="72" t="s">
        <v>679</v>
      </c>
      <c r="P25" s="72" t="s">
        <v>680</v>
      </c>
      <c r="Q25" s="72"/>
      <c r="R25" s="72"/>
      <c r="S25" s="72"/>
      <c r="T25" s="72" t="s">
        <v>627</v>
      </c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</row>
    <row r="26" spans="1:47" ht="14" x14ac:dyDescent="0.25">
      <c r="A26" s="72"/>
      <c r="B26" s="72"/>
      <c r="C26" s="72"/>
      <c r="D26" s="72"/>
      <c r="E26" s="72"/>
      <c r="F26" s="72" t="s">
        <v>290</v>
      </c>
      <c r="G26" s="72" t="s">
        <v>279</v>
      </c>
      <c r="H26" s="72">
        <v>1101201</v>
      </c>
      <c r="I26" s="72" t="s">
        <v>586</v>
      </c>
      <c r="J26" s="72"/>
      <c r="K26" s="72"/>
      <c r="L26" s="72" t="s">
        <v>287</v>
      </c>
      <c r="M26" s="72" t="s">
        <v>292</v>
      </c>
      <c r="N26" s="72" t="s">
        <v>293</v>
      </c>
      <c r="O26" s="72" t="s">
        <v>679</v>
      </c>
      <c r="P26" s="72" t="s">
        <v>680</v>
      </c>
      <c r="Q26" s="72"/>
      <c r="R26" s="72"/>
      <c r="S26" s="72"/>
      <c r="T26" s="72" t="s">
        <v>627</v>
      </c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</row>
    <row r="27" spans="1:47" ht="14" x14ac:dyDescent="0.25">
      <c r="A27" s="72"/>
      <c r="B27" s="72"/>
      <c r="C27" s="72"/>
      <c r="D27" s="72"/>
      <c r="E27" s="72"/>
      <c r="F27" s="72" t="s">
        <v>294</v>
      </c>
      <c r="G27" s="72" t="s">
        <v>282</v>
      </c>
      <c r="H27" s="72">
        <v>1101201</v>
      </c>
      <c r="I27" s="72" t="s">
        <v>587</v>
      </c>
      <c r="J27" s="72"/>
      <c r="K27" s="72"/>
      <c r="L27" s="72" t="s">
        <v>287</v>
      </c>
      <c r="M27" s="72" t="s">
        <v>296</v>
      </c>
      <c r="N27" s="72" t="s">
        <v>297</v>
      </c>
      <c r="O27" s="72" t="s">
        <v>679</v>
      </c>
      <c r="P27" s="72" t="s">
        <v>680</v>
      </c>
      <c r="Q27" s="72"/>
      <c r="R27" s="72"/>
      <c r="S27" s="72"/>
      <c r="T27" s="72" t="s">
        <v>627</v>
      </c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</row>
    <row r="28" spans="1:47" ht="14" x14ac:dyDescent="0.25">
      <c r="A28" s="72"/>
      <c r="B28" s="72"/>
      <c r="C28" s="72"/>
      <c r="D28" s="72"/>
      <c r="E28" s="72"/>
      <c r="F28" s="72" t="s">
        <v>304</v>
      </c>
      <c r="G28" s="72" t="s">
        <v>298</v>
      </c>
      <c r="H28" s="72">
        <v>1101201</v>
      </c>
      <c r="I28" s="72" t="s">
        <v>586</v>
      </c>
      <c r="J28" s="72"/>
      <c r="K28" s="72"/>
      <c r="L28" s="72" t="s">
        <v>306</v>
      </c>
      <c r="M28" s="72" t="s">
        <v>307</v>
      </c>
      <c r="N28" s="72" t="s">
        <v>308</v>
      </c>
      <c r="O28" s="72" t="s">
        <v>679</v>
      </c>
      <c r="P28" s="72" t="s">
        <v>680</v>
      </c>
      <c r="Q28" s="72"/>
      <c r="R28" s="72"/>
      <c r="S28" s="72"/>
      <c r="T28" s="72" t="s">
        <v>627</v>
      </c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</row>
    <row r="29" spans="1:47" ht="14" x14ac:dyDescent="0.25">
      <c r="A29" s="72"/>
      <c r="B29" s="72"/>
      <c r="C29" s="72"/>
      <c r="D29" s="72"/>
      <c r="E29" s="72"/>
      <c r="F29" s="72" t="s">
        <v>309</v>
      </c>
      <c r="G29" s="72" t="s">
        <v>300</v>
      </c>
      <c r="H29" s="72">
        <v>1101201</v>
      </c>
      <c r="I29" s="72" t="s">
        <v>586</v>
      </c>
      <c r="J29" s="72"/>
      <c r="K29" s="72"/>
      <c r="L29" s="72" t="s">
        <v>287</v>
      </c>
      <c r="M29" s="72" t="s">
        <v>311</v>
      </c>
      <c r="N29" s="72" t="s">
        <v>312</v>
      </c>
      <c r="O29" s="72" t="s">
        <v>679</v>
      </c>
      <c r="P29" s="72" t="s">
        <v>680</v>
      </c>
      <c r="Q29" s="72"/>
      <c r="R29" s="72"/>
      <c r="S29" s="72"/>
      <c r="T29" s="72" t="s">
        <v>627</v>
      </c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</row>
    <row r="30" spans="1:47" ht="14" x14ac:dyDescent="0.25">
      <c r="A30" s="72"/>
      <c r="B30" s="72"/>
      <c r="C30" s="72"/>
      <c r="D30" s="72"/>
      <c r="E30" s="72"/>
      <c r="F30" s="72" t="s">
        <v>313</v>
      </c>
      <c r="G30" s="72" t="s">
        <v>302</v>
      </c>
      <c r="H30" s="72">
        <v>1101201</v>
      </c>
      <c r="I30" s="72" t="s">
        <v>587</v>
      </c>
      <c r="J30" s="72"/>
      <c r="K30" s="72"/>
      <c r="L30" s="72" t="s">
        <v>287</v>
      </c>
      <c r="M30" s="72" t="s">
        <v>315</v>
      </c>
      <c r="N30" s="72" t="s">
        <v>316</v>
      </c>
      <c r="O30" s="72" t="s">
        <v>679</v>
      </c>
      <c r="P30" s="72" t="s">
        <v>680</v>
      </c>
      <c r="Q30" s="72"/>
      <c r="R30" s="72"/>
      <c r="S30" s="72"/>
      <c r="T30" s="72" t="s">
        <v>627</v>
      </c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</row>
    <row r="31" spans="1:47" ht="14" x14ac:dyDescent="0.25">
      <c r="A31" s="72"/>
      <c r="B31" s="72"/>
      <c r="C31" s="72"/>
      <c r="D31" s="72"/>
      <c r="E31" s="72"/>
      <c r="F31" s="72" t="s">
        <v>323</v>
      </c>
      <c r="G31" s="72" t="s">
        <v>317</v>
      </c>
      <c r="H31" s="72">
        <v>1101201</v>
      </c>
      <c r="I31" s="72" t="s">
        <v>586</v>
      </c>
      <c r="J31" s="72"/>
      <c r="K31" s="72"/>
      <c r="L31" s="72" t="s">
        <v>324</v>
      </c>
      <c r="M31" s="72" t="s">
        <v>325</v>
      </c>
      <c r="N31" s="72" t="s">
        <v>326</v>
      </c>
      <c r="O31" s="72" t="s">
        <v>679</v>
      </c>
      <c r="P31" s="72" t="s">
        <v>680</v>
      </c>
      <c r="Q31" s="72"/>
      <c r="R31" s="72"/>
      <c r="S31" s="72"/>
      <c r="T31" s="72" t="s">
        <v>627</v>
      </c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</row>
    <row r="32" spans="1:47" ht="14" x14ac:dyDescent="0.25">
      <c r="A32" s="72"/>
      <c r="B32" s="72"/>
      <c r="C32" s="72"/>
      <c r="D32" s="72"/>
      <c r="E32" s="72"/>
      <c r="F32" s="72" t="s">
        <v>327</v>
      </c>
      <c r="G32" s="72" t="s">
        <v>319</v>
      </c>
      <c r="H32" s="72">
        <v>1101201</v>
      </c>
      <c r="I32" s="72" t="s">
        <v>586</v>
      </c>
      <c r="J32" s="72"/>
      <c r="K32" s="72"/>
      <c r="L32" s="72" t="s">
        <v>324</v>
      </c>
      <c r="M32" s="72" t="s">
        <v>329</v>
      </c>
      <c r="N32" s="72" t="s">
        <v>330</v>
      </c>
      <c r="O32" s="72" t="s">
        <v>679</v>
      </c>
      <c r="P32" s="72" t="s">
        <v>680</v>
      </c>
      <c r="Q32" s="72"/>
      <c r="R32" s="72"/>
      <c r="S32" s="72"/>
      <c r="T32" s="72" t="s">
        <v>627</v>
      </c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</row>
    <row r="33" spans="1:47" ht="14" x14ac:dyDescent="0.25">
      <c r="A33" s="72"/>
      <c r="B33" s="72"/>
      <c r="C33" s="72"/>
      <c r="D33" s="72"/>
      <c r="E33" s="72"/>
      <c r="F33" s="72" t="s">
        <v>331</v>
      </c>
      <c r="G33" s="72" t="s">
        <v>321</v>
      </c>
      <c r="H33" s="72">
        <v>1101201</v>
      </c>
      <c r="I33" s="72" t="s">
        <v>587</v>
      </c>
      <c r="J33" s="72"/>
      <c r="K33" s="72"/>
      <c r="L33" s="72" t="s">
        <v>324</v>
      </c>
      <c r="M33" s="72" t="s">
        <v>333</v>
      </c>
      <c r="N33" s="72" t="s">
        <v>334</v>
      </c>
      <c r="O33" s="72" t="s">
        <v>679</v>
      </c>
      <c r="P33" s="72" t="s">
        <v>680</v>
      </c>
      <c r="Q33" s="72"/>
      <c r="R33" s="72"/>
      <c r="S33" s="72"/>
      <c r="T33" s="72" t="s">
        <v>627</v>
      </c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</row>
    <row r="34" spans="1:47" ht="14" x14ac:dyDescent="0.25">
      <c r="A34" s="72"/>
      <c r="B34" s="72"/>
      <c r="C34" s="72"/>
      <c r="D34" s="72"/>
      <c r="E34" s="72"/>
      <c r="F34" s="72" t="s">
        <v>341</v>
      </c>
      <c r="G34" s="72" t="s">
        <v>335</v>
      </c>
      <c r="H34" s="72">
        <v>1101201</v>
      </c>
      <c r="I34" s="72" t="s">
        <v>586</v>
      </c>
      <c r="J34" s="72"/>
      <c r="K34" s="72"/>
      <c r="L34" s="72" t="s">
        <v>342</v>
      </c>
      <c r="M34" s="72" t="s">
        <v>307</v>
      </c>
      <c r="N34" s="72" t="s">
        <v>308</v>
      </c>
      <c r="O34" s="72" t="s">
        <v>679</v>
      </c>
      <c r="P34" s="72" t="s">
        <v>680</v>
      </c>
      <c r="Q34" s="72"/>
      <c r="R34" s="72"/>
      <c r="S34" s="72"/>
      <c r="T34" s="72" t="s">
        <v>627</v>
      </c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</row>
    <row r="35" spans="1:47" ht="14" x14ac:dyDescent="0.25">
      <c r="A35" s="72"/>
      <c r="B35" s="72"/>
      <c r="C35" s="72"/>
      <c r="D35" s="72"/>
      <c r="E35" s="72"/>
      <c r="F35" s="72" t="s">
        <v>343</v>
      </c>
      <c r="G35" s="72" t="s">
        <v>337</v>
      </c>
      <c r="H35" s="72">
        <v>1101201</v>
      </c>
      <c r="I35" s="72" t="s">
        <v>586</v>
      </c>
      <c r="J35" s="72"/>
      <c r="K35" s="72"/>
      <c r="L35" s="72" t="s">
        <v>324</v>
      </c>
      <c r="M35" s="72" t="s">
        <v>603</v>
      </c>
      <c r="N35" s="72" t="s">
        <v>346</v>
      </c>
      <c r="O35" s="72" t="s">
        <v>679</v>
      </c>
      <c r="P35" s="72" t="s">
        <v>680</v>
      </c>
      <c r="Q35" s="72"/>
      <c r="R35" s="72"/>
      <c r="S35" s="72"/>
      <c r="T35" s="72" t="s">
        <v>627</v>
      </c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</row>
    <row r="36" spans="1:47" ht="14" x14ac:dyDescent="0.25">
      <c r="A36" s="72"/>
      <c r="B36" s="72"/>
      <c r="C36" s="72"/>
      <c r="D36" s="72"/>
      <c r="E36" s="72"/>
      <c r="F36" s="72" t="s">
        <v>347</v>
      </c>
      <c r="G36" s="72" t="s">
        <v>339</v>
      </c>
      <c r="H36" s="72">
        <v>1101201</v>
      </c>
      <c r="I36" s="72" t="s">
        <v>587</v>
      </c>
      <c r="J36" s="72"/>
      <c r="K36" s="72"/>
      <c r="L36" s="72" t="s">
        <v>324</v>
      </c>
      <c r="M36" s="72" t="s">
        <v>604</v>
      </c>
      <c r="N36" s="72" t="s">
        <v>350</v>
      </c>
      <c r="O36" s="72" t="s">
        <v>679</v>
      </c>
      <c r="P36" s="72" t="s">
        <v>680</v>
      </c>
      <c r="Q36" s="72"/>
      <c r="R36" s="72"/>
      <c r="S36" s="72"/>
      <c r="T36" s="72" t="s">
        <v>627</v>
      </c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</row>
    <row r="37" spans="1:47" ht="14" x14ac:dyDescent="0.25">
      <c r="A37" s="72"/>
      <c r="B37" s="72"/>
      <c r="C37" s="72"/>
      <c r="D37" s="72"/>
      <c r="E37" s="72"/>
      <c r="F37" s="72" t="s">
        <v>50</v>
      </c>
      <c r="G37" s="72" t="s">
        <v>351</v>
      </c>
      <c r="H37" s="72">
        <v>1101201</v>
      </c>
      <c r="I37" s="72" t="s">
        <v>586</v>
      </c>
      <c r="J37" s="72"/>
      <c r="K37" s="72"/>
      <c r="L37" s="72" t="s">
        <v>353</v>
      </c>
      <c r="M37" s="72" t="s">
        <v>354</v>
      </c>
      <c r="N37" s="72" t="s">
        <v>355</v>
      </c>
      <c r="O37" s="72" t="s">
        <v>679</v>
      </c>
      <c r="P37" s="72" t="s">
        <v>680</v>
      </c>
      <c r="Q37" s="72"/>
      <c r="R37" s="72"/>
      <c r="S37" s="72"/>
      <c r="T37" s="72" t="s">
        <v>627</v>
      </c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</row>
    <row r="38" spans="1:47" ht="14" x14ac:dyDescent="0.25">
      <c r="A38" s="72"/>
      <c r="B38" s="72"/>
      <c r="C38" s="72"/>
      <c r="D38" s="72"/>
      <c r="E38" s="72"/>
      <c r="F38" s="72" t="s">
        <v>357</v>
      </c>
      <c r="G38" s="72" t="s">
        <v>356</v>
      </c>
      <c r="H38" s="72">
        <v>1101201</v>
      </c>
      <c r="I38" s="72" t="s">
        <v>586</v>
      </c>
      <c r="J38" s="72"/>
      <c r="K38" s="72"/>
      <c r="L38" s="72" t="s">
        <v>353</v>
      </c>
      <c r="M38" s="72" t="s">
        <v>363</v>
      </c>
      <c r="N38" s="72" t="s">
        <v>355</v>
      </c>
      <c r="O38" s="72" t="s">
        <v>679</v>
      </c>
      <c r="P38" s="72" t="s">
        <v>680</v>
      </c>
      <c r="Q38" s="72"/>
      <c r="R38" s="72"/>
      <c r="S38" s="72"/>
      <c r="T38" s="72" t="s">
        <v>627</v>
      </c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</row>
    <row r="39" spans="1:47" ht="14" x14ac:dyDescent="0.25">
      <c r="A39" s="72"/>
      <c r="B39" s="72"/>
      <c r="C39" s="72"/>
      <c r="D39" s="72"/>
      <c r="E39" s="72"/>
      <c r="F39" s="72" t="s">
        <v>360</v>
      </c>
      <c r="G39" s="72" t="s">
        <v>359</v>
      </c>
      <c r="H39" s="72">
        <v>1101201</v>
      </c>
      <c r="I39" s="72" t="s">
        <v>586</v>
      </c>
      <c r="J39" s="72"/>
      <c r="K39" s="72"/>
      <c r="L39" s="72" t="s">
        <v>353</v>
      </c>
      <c r="M39" s="72" t="s">
        <v>365</v>
      </c>
      <c r="N39" s="72" t="s">
        <v>366</v>
      </c>
      <c r="O39" s="72" t="s">
        <v>679</v>
      </c>
      <c r="P39" s="72" t="s">
        <v>680</v>
      </c>
      <c r="Q39" s="72"/>
      <c r="R39" s="72"/>
      <c r="S39" s="72"/>
      <c r="T39" s="72" t="s">
        <v>627</v>
      </c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</row>
    <row r="40" spans="1:47" ht="14" x14ac:dyDescent="0.25">
      <c r="A40" s="72"/>
      <c r="B40" s="72"/>
      <c r="C40" s="72"/>
      <c r="D40" s="72"/>
      <c r="E40" s="72"/>
      <c r="F40" s="72" t="s">
        <v>368</v>
      </c>
      <c r="G40" s="72" t="s">
        <v>367</v>
      </c>
      <c r="H40" s="72">
        <v>1101201</v>
      </c>
      <c r="I40" s="72" t="s">
        <v>586</v>
      </c>
      <c r="J40" s="72"/>
      <c r="K40" s="72"/>
      <c r="L40" s="72" t="s">
        <v>372</v>
      </c>
      <c r="M40" s="72" t="s">
        <v>373</v>
      </c>
      <c r="N40" s="72" t="s">
        <v>374</v>
      </c>
      <c r="O40" s="72" t="s">
        <v>679</v>
      </c>
      <c r="P40" s="72" t="s">
        <v>680</v>
      </c>
      <c r="Q40" s="72"/>
      <c r="R40" s="72"/>
      <c r="S40" s="72"/>
      <c r="T40" s="72" t="s">
        <v>627</v>
      </c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</row>
    <row r="41" spans="1:47" ht="14" x14ac:dyDescent="0.25">
      <c r="A41" s="72"/>
      <c r="B41" s="72"/>
      <c r="C41" s="72"/>
      <c r="D41" s="72"/>
      <c r="E41" s="72"/>
      <c r="F41" s="72" t="s">
        <v>370</v>
      </c>
      <c r="G41" s="72" t="s">
        <v>369</v>
      </c>
      <c r="H41" s="72">
        <v>1101201</v>
      </c>
      <c r="I41" s="72" t="s">
        <v>586</v>
      </c>
      <c r="J41" s="72"/>
      <c r="K41" s="72"/>
      <c r="L41" s="72" t="s">
        <v>372</v>
      </c>
      <c r="M41" s="72" t="s">
        <v>376</v>
      </c>
      <c r="N41" s="72" t="s">
        <v>377</v>
      </c>
      <c r="O41" s="72" t="s">
        <v>679</v>
      </c>
      <c r="P41" s="72" t="s">
        <v>680</v>
      </c>
      <c r="Q41" s="72"/>
      <c r="R41" s="72"/>
      <c r="S41" s="72"/>
      <c r="T41" s="72" t="s">
        <v>627</v>
      </c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</row>
    <row r="42" spans="1:47" ht="14" x14ac:dyDescent="0.25">
      <c r="A42" s="72"/>
      <c r="B42" s="72"/>
      <c r="C42" s="72"/>
      <c r="D42" s="72"/>
      <c r="E42" s="72"/>
      <c r="F42" s="72" t="s">
        <v>379</v>
      </c>
      <c r="G42" s="72" t="s">
        <v>378</v>
      </c>
      <c r="H42" s="72">
        <v>1101201</v>
      </c>
      <c r="I42" s="72" t="s">
        <v>587</v>
      </c>
      <c r="J42" s="72"/>
      <c r="K42" s="72"/>
      <c r="L42" s="72" t="s">
        <v>372</v>
      </c>
      <c r="M42" s="72" t="s">
        <v>385</v>
      </c>
      <c r="N42" s="72" t="s">
        <v>386</v>
      </c>
      <c r="O42" s="72" t="s">
        <v>679</v>
      </c>
      <c r="P42" s="72" t="s">
        <v>680</v>
      </c>
      <c r="Q42" s="72"/>
      <c r="R42" s="72"/>
      <c r="S42" s="72"/>
      <c r="T42" s="72" t="s">
        <v>627</v>
      </c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</row>
    <row r="43" spans="1:47" ht="14" x14ac:dyDescent="0.25">
      <c r="A43" s="72"/>
      <c r="B43" s="72"/>
      <c r="C43" s="72"/>
      <c r="D43" s="72"/>
      <c r="E43" s="72"/>
      <c r="F43" s="72" t="s">
        <v>381</v>
      </c>
      <c r="G43" s="72" t="s">
        <v>380</v>
      </c>
      <c r="H43" s="72">
        <v>1101201</v>
      </c>
      <c r="I43" s="72" t="s">
        <v>587</v>
      </c>
      <c r="J43" s="72"/>
      <c r="K43" s="72"/>
      <c r="L43" s="72" t="s">
        <v>353</v>
      </c>
      <c r="M43" s="72" t="s">
        <v>388</v>
      </c>
      <c r="N43" s="72" t="s">
        <v>389</v>
      </c>
      <c r="O43" s="72" t="s">
        <v>679</v>
      </c>
      <c r="P43" s="72" t="s">
        <v>680</v>
      </c>
      <c r="Q43" s="72"/>
      <c r="R43" s="72"/>
      <c r="S43" s="72"/>
      <c r="T43" s="72" t="s">
        <v>627</v>
      </c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</row>
    <row r="44" spans="1:47" ht="14" x14ac:dyDescent="0.25">
      <c r="A44" s="72"/>
      <c r="B44" s="72"/>
      <c r="C44" s="72"/>
      <c r="D44" s="72"/>
      <c r="E44" s="72"/>
      <c r="F44" s="72" t="s">
        <v>383</v>
      </c>
      <c r="G44" s="72" t="s">
        <v>382</v>
      </c>
      <c r="H44" s="72">
        <v>1101201</v>
      </c>
      <c r="I44" s="72" t="s">
        <v>587</v>
      </c>
      <c r="J44" s="72"/>
      <c r="K44" s="72"/>
      <c r="L44" s="72" t="s">
        <v>353</v>
      </c>
      <c r="M44" s="72" t="s">
        <v>391</v>
      </c>
      <c r="N44" s="72" t="s">
        <v>392</v>
      </c>
      <c r="O44" s="72" t="s">
        <v>679</v>
      </c>
      <c r="P44" s="72" t="s">
        <v>680</v>
      </c>
      <c r="Q44" s="72"/>
      <c r="R44" s="72"/>
      <c r="S44" s="72"/>
      <c r="T44" s="72" t="s">
        <v>627</v>
      </c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</row>
    <row r="45" spans="1:47" ht="14" x14ac:dyDescent="0.25">
      <c r="A45" s="72"/>
      <c r="B45" s="72"/>
      <c r="C45" s="72"/>
      <c r="D45" s="72"/>
      <c r="E45" s="72"/>
      <c r="F45" s="72" t="s">
        <v>396</v>
      </c>
      <c r="G45" s="72" t="s">
        <v>393</v>
      </c>
      <c r="H45" s="72">
        <v>1101201</v>
      </c>
      <c r="I45" s="72" t="s">
        <v>587</v>
      </c>
      <c r="J45" s="72"/>
      <c r="K45" s="72"/>
      <c r="L45" s="72" t="s">
        <v>372</v>
      </c>
      <c r="M45" s="72" t="s">
        <v>605</v>
      </c>
      <c r="N45" s="72" t="s">
        <v>399</v>
      </c>
      <c r="O45" s="72" t="s">
        <v>679</v>
      </c>
      <c r="P45" s="72" t="s">
        <v>680</v>
      </c>
      <c r="Q45" s="72"/>
      <c r="R45" s="72"/>
      <c r="S45" s="72"/>
      <c r="T45" s="72" t="s">
        <v>627</v>
      </c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</row>
    <row r="46" spans="1:47" ht="14" x14ac:dyDescent="0.25">
      <c r="A46" s="72"/>
      <c r="B46" s="72"/>
      <c r="C46" s="72"/>
      <c r="D46" s="72"/>
      <c r="E46" s="72"/>
      <c r="F46" s="72" t="s">
        <v>401</v>
      </c>
      <c r="G46" s="72" t="s">
        <v>403</v>
      </c>
      <c r="H46" s="72">
        <v>1101201</v>
      </c>
      <c r="I46" s="72" t="s">
        <v>587</v>
      </c>
      <c r="J46" s="72"/>
      <c r="K46" s="72"/>
      <c r="L46" s="72" t="s">
        <v>372</v>
      </c>
      <c r="M46" s="72" t="s">
        <v>606</v>
      </c>
      <c r="N46" s="72" t="s">
        <v>399</v>
      </c>
      <c r="O46" s="72" t="s">
        <v>679</v>
      </c>
      <c r="P46" s="72" t="s">
        <v>680</v>
      </c>
      <c r="Q46" s="72"/>
      <c r="R46" s="72"/>
      <c r="S46" s="72"/>
      <c r="T46" s="72" t="s">
        <v>627</v>
      </c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</row>
    <row r="47" spans="1:47" ht="14" x14ac:dyDescent="0.25">
      <c r="A47" s="72"/>
      <c r="B47" s="72"/>
      <c r="C47" s="72"/>
      <c r="D47" s="72"/>
      <c r="E47" s="72"/>
      <c r="F47" s="72" t="s">
        <v>407</v>
      </c>
      <c r="G47" s="72" t="s">
        <v>405</v>
      </c>
      <c r="H47" s="72">
        <v>1101201</v>
      </c>
      <c r="I47" s="72" t="s">
        <v>587</v>
      </c>
      <c r="J47" s="72"/>
      <c r="K47" s="72"/>
      <c r="L47" s="72" t="s">
        <v>353</v>
      </c>
      <c r="M47" s="72" t="s">
        <v>409</v>
      </c>
      <c r="N47" s="72" t="s">
        <v>355</v>
      </c>
      <c r="O47" s="72" t="s">
        <v>679</v>
      </c>
      <c r="P47" s="72" t="s">
        <v>680</v>
      </c>
      <c r="Q47" s="72"/>
      <c r="R47" s="72"/>
      <c r="S47" s="72"/>
      <c r="T47" s="72" t="s">
        <v>627</v>
      </c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</row>
    <row r="48" spans="1:47" ht="14" x14ac:dyDescent="0.25">
      <c r="A48" s="72"/>
      <c r="B48" s="72"/>
      <c r="C48" s="72"/>
      <c r="D48" s="72"/>
      <c r="E48" s="72"/>
      <c r="F48" s="72" t="s">
        <v>410</v>
      </c>
      <c r="G48" s="72" t="s">
        <v>415</v>
      </c>
      <c r="H48" s="72">
        <v>1101201</v>
      </c>
      <c r="I48" s="72" t="s">
        <v>588</v>
      </c>
      <c r="J48" s="72"/>
      <c r="K48" s="72"/>
      <c r="L48" s="72" t="s">
        <v>412</v>
      </c>
      <c r="M48" s="72" t="s">
        <v>413</v>
      </c>
      <c r="N48" s="72" t="s">
        <v>414</v>
      </c>
      <c r="O48" s="72" t="s">
        <v>679</v>
      </c>
      <c r="P48" s="72" t="s">
        <v>680</v>
      </c>
      <c r="Q48" s="72"/>
      <c r="R48" s="72"/>
      <c r="S48" s="72"/>
      <c r="T48" s="72" t="s">
        <v>681</v>
      </c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</row>
    <row r="49" spans="1:47" ht="14" x14ac:dyDescent="0.25">
      <c r="A49" s="72"/>
      <c r="B49" s="72"/>
      <c r="C49" s="72"/>
      <c r="D49" s="72"/>
      <c r="E49" s="72"/>
      <c r="F49" s="72" t="s">
        <v>417</v>
      </c>
      <c r="G49" s="72" t="s">
        <v>421</v>
      </c>
      <c r="H49" s="72">
        <v>1101201</v>
      </c>
      <c r="I49" s="72" t="s">
        <v>588</v>
      </c>
      <c r="J49" s="72"/>
      <c r="K49" s="72"/>
      <c r="L49" s="72" t="s">
        <v>372</v>
      </c>
      <c r="M49" s="72" t="s">
        <v>419</v>
      </c>
      <c r="N49" s="72" t="s">
        <v>420</v>
      </c>
      <c r="O49" s="72" t="s">
        <v>679</v>
      </c>
      <c r="P49" s="72" t="s">
        <v>680</v>
      </c>
      <c r="Q49" s="72"/>
      <c r="R49" s="72"/>
      <c r="S49" s="72"/>
      <c r="T49" s="72" t="s">
        <v>681</v>
      </c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</row>
    <row r="50" spans="1:47" ht="14" x14ac:dyDescent="0.25">
      <c r="A50" s="72"/>
      <c r="B50" s="72"/>
      <c r="C50" s="72"/>
      <c r="D50" s="72"/>
      <c r="E50" s="72"/>
      <c r="F50" s="72" t="s">
        <v>423</v>
      </c>
      <c r="G50" s="72" t="s">
        <v>427</v>
      </c>
      <c r="H50" s="72">
        <v>1101201</v>
      </c>
      <c r="I50" s="72" t="s">
        <v>588</v>
      </c>
      <c r="J50" s="72"/>
      <c r="K50" s="72"/>
      <c r="L50" s="72" t="s">
        <v>425</v>
      </c>
      <c r="M50" s="72" t="s">
        <v>426</v>
      </c>
      <c r="N50" s="72" t="s">
        <v>374</v>
      </c>
      <c r="O50" s="72" t="s">
        <v>679</v>
      </c>
      <c r="P50" s="72" t="s">
        <v>680</v>
      </c>
      <c r="Q50" s="72"/>
      <c r="R50" s="72"/>
      <c r="S50" s="72"/>
      <c r="T50" s="72" t="s">
        <v>682</v>
      </c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</row>
    <row r="51" spans="1:47" ht="14" x14ac:dyDescent="0.25">
      <c r="A51" s="72"/>
      <c r="B51" s="72"/>
      <c r="C51" s="72"/>
      <c r="D51" s="72"/>
      <c r="E51" s="72"/>
      <c r="F51" s="72" t="s">
        <v>429</v>
      </c>
      <c r="G51" s="72" t="s">
        <v>434</v>
      </c>
      <c r="H51" s="72">
        <v>1101201</v>
      </c>
      <c r="I51" s="72" t="s">
        <v>588</v>
      </c>
      <c r="J51" s="72"/>
      <c r="K51" s="72"/>
      <c r="L51" s="72" t="s">
        <v>431</v>
      </c>
      <c r="M51" s="72" t="s">
        <v>432</v>
      </c>
      <c r="N51" s="72" t="s">
        <v>433</v>
      </c>
      <c r="O51" s="72" t="s">
        <v>679</v>
      </c>
      <c r="P51" s="72" t="s">
        <v>680</v>
      </c>
      <c r="Q51" s="72"/>
      <c r="R51" s="72"/>
      <c r="S51" s="72"/>
      <c r="T51" s="72" t="s">
        <v>683</v>
      </c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</row>
    <row r="52" spans="1:47" ht="14" x14ac:dyDescent="0.25">
      <c r="A52" s="72"/>
      <c r="B52" s="72"/>
      <c r="C52" s="72"/>
      <c r="D52" s="72"/>
      <c r="E52" s="72"/>
      <c r="F52" s="72" t="s">
        <v>607</v>
      </c>
      <c r="G52" s="72" t="s">
        <v>674</v>
      </c>
      <c r="H52" s="72">
        <v>1101201</v>
      </c>
      <c r="I52" s="72" t="s">
        <v>588</v>
      </c>
      <c r="J52" s="72"/>
      <c r="K52" s="72"/>
      <c r="L52" s="72" t="s">
        <v>372</v>
      </c>
      <c r="M52" s="72" t="s">
        <v>608</v>
      </c>
      <c r="N52" s="72" t="s">
        <v>439</v>
      </c>
      <c r="O52" s="72" t="s">
        <v>679</v>
      </c>
      <c r="P52" s="72" t="s">
        <v>680</v>
      </c>
      <c r="Q52" s="72"/>
      <c r="R52" s="72"/>
      <c r="S52" s="72"/>
      <c r="T52" s="72" t="s">
        <v>684</v>
      </c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</row>
    <row r="53" spans="1:47" ht="14" x14ac:dyDescent="0.25">
      <c r="A53" s="72"/>
      <c r="B53" s="72"/>
      <c r="C53" s="72"/>
      <c r="D53" s="72"/>
      <c r="E53" s="72"/>
      <c r="F53" s="72" t="s">
        <v>609</v>
      </c>
      <c r="G53" s="72" t="s">
        <v>440</v>
      </c>
      <c r="H53" s="72">
        <v>1101201</v>
      </c>
      <c r="I53" s="72" t="s">
        <v>588</v>
      </c>
      <c r="J53" s="72"/>
      <c r="K53" s="72"/>
      <c r="L53" s="72" t="s">
        <v>372</v>
      </c>
      <c r="M53" s="72" t="s">
        <v>610</v>
      </c>
      <c r="N53" s="72" t="s">
        <v>439</v>
      </c>
      <c r="O53" s="72" t="s">
        <v>679</v>
      </c>
      <c r="P53" s="72" t="s">
        <v>680</v>
      </c>
      <c r="Q53" s="72"/>
      <c r="R53" s="72"/>
      <c r="S53" s="72"/>
      <c r="T53" s="72" t="s">
        <v>683</v>
      </c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</row>
    <row r="54" spans="1:47" ht="14" x14ac:dyDescent="0.25">
      <c r="A54" s="72"/>
      <c r="B54" s="72"/>
      <c r="C54" s="72"/>
      <c r="D54" s="72"/>
      <c r="E54" s="72"/>
      <c r="F54" s="72" t="s">
        <v>70</v>
      </c>
      <c r="G54" s="72" t="s">
        <v>445</v>
      </c>
      <c r="H54" s="72">
        <v>1101201</v>
      </c>
      <c r="I54" s="72" t="s">
        <v>588</v>
      </c>
      <c r="J54" s="72"/>
      <c r="K54" s="72"/>
      <c r="L54" s="72" t="s">
        <v>372</v>
      </c>
      <c r="M54" s="72" t="s">
        <v>443</v>
      </c>
      <c r="N54" s="72" t="s">
        <v>444</v>
      </c>
      <c r="O54" s="72" t="s">
        <v>679</v>
      </c>
      <c r="P54" s="72" t="s">
        <v>680</v>
      </c>
      <c r="Q54" s="72"/>
      <c r="R54" s="72"/>
      <c r="S54" s="72"/>
      <c r="T54" s="72" t="s">
        <v>685</v>
      </c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</row>
    <row r="55" spans="1:47" ht="14" x14ac:dyDescent="0.25">
      <c r="A55" s="72"/>
      <c r="B55" s="72"/>
      <c r="C55" s="72"/>
      <c r="D55" s="72"/>
      <c r="E55" s="72"/>
      <c r="F55" s="72" t="s">
        <v>72</v>
      </c>
      <c r="G55" s="72" t="s">
        <v>450</v>
      </c>
      <c r="H55" s="72">
        <v>1101201</v>
      </c>
      <c r="I55" s="72" t="s">
        <v>590</v>
      </c>
      <c r="J55" s="72"/>
      <c r="K55" s="72"/>
      <c r="L55" s="72" t="s">
        <v>372</v>
      </c>
      <c r="M55" s="72" t="s">
        <v>448</v>
      </c>
      <c r="N55" s="72" t="s">
        <v>449</v>
      </c>
      <c r="O55" s="72" t="s">
        <v>679</v>
      </c>
      <c r="P55" s="72" t="s">
        <v>680</v>
      </c>
      <c r="Q55" s="72"/>
      <c r="R55" s="72"/>
      <c r="S55" s="72"/>
      <c r="T55" s="72" t="s">
        <v>683</v>
      </c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</row>
    <row r="56" spans="1:47" ht="14" x14ac:dyDescent="0.25">
      <c r="A56" s="72"/>
      <c r="B56" s="72"/>
      <c r="C56" s="72"/>
      <c r="D56" s="72"/>
      <c r="E56" s="72"/>
      <c r="F56" s="72" t="s">
        <v>74</v>
      </c>
      <c r="G56" s="72" t="s">
        <v>456</v>
      </c>
      <c r="H56" s="72">
        <v>1101201</v>
      </c>
      <c r="I56" s="72" t="s">
        <v>587</v>
      </c>
      <c r="J56" s="72"/>
      <c r="K56" s="72"/>
      <c r="L56" s="72" t="s">
        <v>453</v>
      </c>
      <c r="M56" s="72" t="s">
        <v>454</v>
      </c>
      <c r="N56" s="72" t="s">
        <v>455</v>
      </c>
      <c r="O56" s="72" t="s">
        <v>679</v>
      </c>
      <c r="P56" s="72" t="s">
        <v>680</v>
      </c>
      <c r="Q56" s="72"/>
      <c r="R56" s="72"/>
      <c r="S56" s="72"/>
      <c r="T56" s="72" t="s">
        <v>686</v>
      </c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</row>
    <row r="57" spans="1:47" ht="14" x14ac:dyDescent="0.25">
      <c r="A57" s="72"/>
      <c r="B57" s="72"/>
      <c r="C57" s="72"/>
      <c r="D57" s="72"/>
      <c r="E57" s="72"/>
      <c r="F57" s="72" t="s">
        <v>458</v>
      </c>
      <c r="G57" s="72" t="s">
        <v>462</v>
      </c>
      <c r="H57" s="72">
        <v>1101201</v>
      </c>
      <c r="I57" s="72" t="s">
        <v>587</v>
      </c>
      <c r="J57" s="72"/>
      <c r="K57" s="72"/>
      <c r="L57" s="72" t="s">
        <v>372</v>
      </c>
      <c r="M57" s="72" t="s">
        <v>460</v>
      </c>
      <c r="N57" s="72" t="s">
        <v>461</v>
      </c>
      <c r="O57" s="72" t="s">
        <v>679</v>
      </c>
      <c r="P57" s="72" t="s">
        <v>680</v>
      </c>
      <c r="Q57" s="72"/>
      <c r="R57" s="72"/>
      <c r="S57" s="72"/>
      <c r="T57" s="72" t="s">
        <v>685</v>
      </c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</row>
    <row r="58" spans="1:47" ht="14" x14ac:dyDescent="0.25">
      <c r="A58" s="72"/>
      <c r="B58" s="72"/>
      <c r="C58" s="72"/>
      <c r="D58" s="72"/>
      <c r="E58" s="72"/>
      <c r="F58" s="72" t="s">
        <v>464</v>
      </c>
      <c r="G58" s="72" t="s">
        <v>675</v>
      </c>
      <c r="H58" s="72">
        <v>1101201</v>
      </c>
      <c r="I58" s="72" t="s">
        <v>587</v>
      </c>
      <c r="J58" s="72"/>
      <c r="K58" s="72"/>
      <c r="L58" s="72" t="s">
        <v>372</v>
      </c>
      <c r="M58" s="72" t="s">
        <v>466</v>
      </c>
      <c r="N58" s="72" t="s">
        <v>467</v>
      </c>
      <c r="O58" s="72" t="s">
        <v>679</v>
      </c>
      <c r="P58" s="72" t="s">
        <v>680</v>
      </c>
      <c r="Q58" s="72"/>
      <c r="R58" s="72"/>
      <c r="S58" s="72"/>
      <c r="T58" s="72" t="s">
        <v>687</v>
      </c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</row>
    <row r="59" spans="1:47" ht="14" x14ac:dyDescent="0.25">
      <c r="A59" s="72"/>
      <c r="B59" s="72"/>
      <c r="C59" s="72"/>
      <c r="D59" s="72"/>
      <c r="E59" s="72"/>
      <c r="F59" s="72" t="s">
        <v>469</v>
      </c>
      <c r="G59" s="72" t="s">
        <v>472</v>
      </c>
      <c r="H59" s="72">
        <v>1101201</v>
      </c>
      <c r="I59" s="72" t="s">
        <v>588</v>
      </c>
      <c r="J59" s="72"/>
      <c r="K59" s="72"/>
      <c r="L59" s="72" t="s">
        <v>372</v>
      </c>
      <c r="M59" s="72" t="s">
        <v>471</v>
      </c>
      <c r="N59" s="72" t="s">
        <v>467</v>
      </c>
      <c r="O59" s="72" t="s">
        <v>679</v>
      </c>
      <c r="P59" s="72" t="s">
        <v>680</v>
      </c>
      <c r="Q59" s="72"/>
      <c r="R59" s="72"/>
      <c r="S59" s="72"/>
      <c r="T59" s="72" t="s">
        <v>681</v>
      </c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</row>
    <row r="60" spans="1:47" ht="14" x14ac:dyDescent="0.25">
      <c r="A60" s="72"/>
      <c r="B60" s="72"/>
      <c r="C60" s="72"/>
      <c r="D60" s="72" t="s">
        <v>82</v>
      </c>
      <c r="E60" s="72"/>
      <c r="F60" s="72"/>
      <c r="G60" s="74"/>
      <c r="H60" s="72"/>
      <c r="I60" s="75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</row>
    <row r="61" spans="1:47" ht="14" x14ac:dyDescent="0.25">
      <c r="A61" s="72"/>
      <c r="B61" s="72"/>
      <c r="C61" s="72"/>
      <c r="D61" s="72"/>
      <c r="E61" s="72" t="s">
        <v>83</v>
      </c>
      <c r="F61" s="72"/>
      <c r="G61" s="74"/>
      <c r="H61" s="77"/>
      <c r="I61" s="75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</row>
    <row r="62" spans="1:47" ht="14" x14ac:dyDescent="0.25">
      <c r="A62" s="72"/>
      <c r="B62" s="72"/>
      <c r="C62" s="72"/>
      <c r="D62" s="72"/>
      <c r="E62" s="72"/>
      <c r="F62" s="72" t="s">
        <v>502</v>
      </c>
      <c r="G62" s="72" t="s">
        <v>677</v>
      </c>
      <c r="H62" s="76">
        <v>1102101</v>
      </c>
      <c r="I62" s="72" t="s">
        <v>586</v>
      </c>
      <c r="J62" s="72"/>
      <c r="K62" s="72"/>
      <c r="L62" s="72" t="s">
        <v>372</v>
      </c>
      <c r="M62" s="72" t="s">
        <v>611</v>
      </c>
      <c r="N62" s="72" t="s">
        <v>505</v>
      </c>
      <c r="O62" s="72" t="s">
        <v>679</v>
      </c>
      <c r="P62" s="72" t="s">
        <v>680</v>
      </c>
      <c r="Q62" s="72"/>
      <c r="R62" s="72"/>
      <c r="S62" s="72"/>
      <c r="T62" s="72" t="s">
        <v>627</v>
      </c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</row>
    <row r="63" spans="1:47" ht="14" x14ac:dyDescent="0.25">
      <c r="A63" s="72"/>
      <c r="B63" s="72"/>
      <c r="C63" s="72"/>
      <c r="D63" s="72"/>
      <c r="E63" s="72"/>
      <c r="F63" s="72" t="s">
        <v>506</v>
      </c>
      <c r="G63" s="72" t="s">
        <v>493</v>
      </c>
      <c r="H63" s="76">
        <v>1102102</v>
      </c>
      <c r="I63" s="72" t="s">
        <v>586</v>
      </c>
      <c r="J63" s="72"/>
      <c r="K63" s="72"/>
      <c r="L63" s="72" t="s">
        <v>508</v>
      </c>
      <c r="M63" s="72" t="s">
        <v>509</v>
      </c>
      <c r="N63" s="72" t="s">
        <v>510</v>
      </c>
      <c r="O63" s="72" t="s">
        <v>679</v>
      </c>
      <c r="P63" s="72" t="s">
        <v>680</v>
      </c>
      <c r="Q63" s="72"/>
      <c r="R63" s="72"/>
      <c r="S63" s="72"/>
      <c r="T63" s="72" t="s">
        <v>627</v>
      </c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</row>
    <row r="64" spans="1:47" ht="14" x14ac:dyDescent="0.25">
      <c r="A64" s="72"/>
      <c r="B64" s="72"/>
      <c r="C64" s="72"/>
      <c r="D64" s="72"/>
      <c r="E64" s="72"/>
      <c r="F64" s="72" t="s">
        <v>511</v>
      </c>
      <c r="G64" s="72" t="s">
        <v>496</v>
      </c>
      <c r="H64" s="76">
        <v>1102103</v>
      </c>
      <c r="I64" s="72" t="s">
        <v>586</v>
      </c>
      <c r="J64" s="72"/>
      <c r="K64" s="72"/>
      <c r="L64" s="72" t="s">
        <v>513</v>
      </c>
      <c r="M64" s="72" t="s">
        <v>514</v>
      </c>
      <c r="N64" s="72" t="s">
        <v>515</v>
      </c>
      <c r="O64" s="72" t="s">
        <v>679</v>
      </c>
      <c r="P64" s="72" t="s">
        <v>680</v>
      </c>
      <c r="Q64" s="72"/>
      <c r="R64" s="72"/>
      <c r="S64" s="72"/>
      <c r="T64" s="72" t="s">
        <v>627</v>
      </c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</row>
    <row r="65" spans="1:47" ht="14" x14ac:dyDescent="0.25">
      <c r="A65" s="72"/>
      <c r="B65" s="72"/>
      <c r="C65" s="72"/>
      <c r="D65" s="72"/>
      <c r="E65" s="72"/>
      <c r="F65" s="72" t="s">
        <v>516</v>
      </c>
      <c r="G65" s="72" t="s">
        <v>499</v>
      </c>
      <c r="H65" s="76">
        <v>1102104</v>
      </c>
      <c r="I65" s="72" t="s">
        <v>586</v>
      </c>
      <c r="J65" s="72"/>
      <c r="K65" s="72"/>
      <c r="L65" s="72" t="s">
        <v>513</v>
      </c>
      <c r="M65" s="72" t="s">
        <v>518</v>
      </c>
      <c r="N65" s="72" t="s">
        <v>519</v>
      </c>
      <c r="O65" s="72" t="s">
        <v>679</v>
      </c>
      <c r="P65" s="72" t="s">
        <v>680</v>
      </c>
      <c r="Q65" s="72"/>
      <c r="R65" s="72"/>
      <c r="S65" s="72"/>
      <c r="T65" s="72" t="s">
        <v>627</v>
      </c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</row>
    <row r="66" spans="1:47" ht="14" x14ac:dyDescent="0.25">
      <c r="A66" s="72"/>
      <c r="B66" s="72"/>
      <c r="C66" s="72"/>
      <c r="D66" s="72"/>
      <c r="E66" s="72"/>
      <c r="F66" s="72" t="s">
        <v>86</v>
      </c>
      <c r="G66" s="72" t="s">
        <v>520</v>
      </c>
      <c r="H66" s="76">
        <v>1102105</v>
      </c>
      <c r="I66" s="72" t="s">
        <v>586</v>
      </c>
      <c r="J66" s="72"/>
      <c r="K66" s="72"/>
      <c r="L66" s="72" t="s">
        <v>522</v>
      </c>
      <c r="M66" s="72" t="s">
        <v>523</v>
      </c>
      <c r="N66" s="72" t="s">
        <v>524</v>
      </c>
      <c r="O66" s="72" t="s">
        <v>679</v>
      </c>
      <c r="P66" s="72" t="s">
        <v>680</v>
      </c>
      <c r="Q66" s="72"/>
      <c r="R66" s="72"/>
      <c r="S66" s="72"/>
      <c r="T66" s="72" t="s">
        <v>627</v>
      </c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2"/>
    </row>
    <row r="67" spans="1:47" ht="14" x14ac:dyDescent="0.25">
      <c r="A67" s="72"/>
      <c r="B67" s="72"/>
      <c r="C67" s="72"/>
      <c r="D67" s="72"/>
      <c r="E67" s="72"/>
      <c r="F67" s="72" t="s">
        <v>88</v>
      </c>
      <c r="G67" s="72" t="s">
        <v>525</v>
      </c>
      <c r="H67" s="76">
        <v>1102106</v>
      </c>
      <c r="I67" s="72" t="s">
        <v>586</v>
      </c>
      <c r="J67" s="72"/>
      <c r="K67" s="72"/>
      <c r="L67" s="72" t="s">
        <v>527</v>
      </c>
      <c r="M67" s="72" t="s">
        <v>528</v>
      </c>
      <c r="N67" s="72" t="s">
        <v>529</v>
      </c>
      <c r="O67" s="72" t="s">
        <v>679</v>
      </c>
      <c r="P67" s="72" t="s">
        <v>680</v>
      </c>
      <c r="Q67" s="72"/>
      <c r="R67" s="72"/>
      <c r="S67" s="72"/>
      <c r="T67" s="72" t="s">
        <v>627</v>
      </c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</row>
    <row r="68" spans="1:47" ht="14" x14ac:dyDescent="0.25">
      <c r="A68" s="72"/>
      <c r="B68" s="72"/>
      <c r="C68" s="72"/>
      <c r="D68" s="72"/>
      <c r="E68" s="72"/>
      <c r="F68" s="72" t="s">
        <v>90</v>
      </c>
      <c r="G68" s="72" t="s">
        <v>530</v>
      </c>
      <c r="H68" s="76">
        <v>1102107</v>
      </c>
      <c r="I68" s="72" t="s">
        <v>586</v>
      </c>
      <c r="J68" s="72"/>
      <c r="K68" s="72"/>
      <c r="L68" s="72" t="s">
        <v>527</v>
      </c>
      <c r="M68" s="72" t="s">
        <v>532</v>
      </c>
      <c r="N68" s="72" t="s">
        <v>533</v>
      </c>
      <c r="O68" s="72" t="s">
        <v>679</v>
      </c>
      <c r="P68" s="72" t="s">
        <v>680</v>
      </c>
      <c r="Q68" s="72"/>
      <c r="R68" s="72"/>
      <c r="S68" s="72"/>
      <c r="T68" s="72" t="s">
        <v>627</v>
      </c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  <c r="AT68" s="72"/>
      <c r="AU68" s="72"/>
    </row>
    <row r="69" spans="1:47" ht="14" x14ac:dyDescent="0.25">
      <c r="A69" s="72"/>
      <c r="B69" s="72"/>
      <c r="C69" s="72"/>
      <c r="D69" s="72"/>
      <c r="E69" s="72"/>
      <c r="F69" s="72" t="s">
        <v>92</v>
      </c>
      <c r="G69" s="72" t="s">
        <v>534</v>
      </c>
      <c r="H69" s="76">
        <v>1102108</v>
      </c>
      <c r="I69" s="72" t="s">
        <v>587</v>
      </c>
      <c r="J69" s="72"/>
      <c r="K69" s="72"/>
      <c r="L69" s="72" t="s">
        <v>536</v>
      </c>
      <c r="M69" s="72" t="s">
        <v>537</v>
      </c>
      <c r="N69" s="72" t="s">
        <v>538</v>
      </c>
      <c r="O69" s="72" t="s">
        <v>679</v>
      </c>
      <c r="P69" s="72" t="s">
        <v>680</v>
      </c>
      <c r="Q69" s="72"/>
      <c r="R69" s="72"/>
      <c r="S69" s="72"/>
      <c r="T69" s="72" t="s">
        <v>627</v>
      </c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</row>
    <row r="70" spans="1:47" ht="14" x14ac:dyDescent="0.25">
      <c r="A70" s="72"/>
      <c r="B70" s="72"/>
      <c r="C70" s="72"/>
      <c r="D70" s="72"/>
      <c r="E70" s="72"/>
      <c r="F70" s="72" t="s">
        <v>94</v>
      </c>
      <c r="G70" s="72" t="s">
        <v>539</v>
      </c>
      <c r="H70" s="76">
        <v>1102109</v>
      </c>
      <c r="I70" s="72" t="s">
        <v>590</v>
      </c>
      <c r="J70" s="72"/>
      <c r="K70" s="72"/>
      <c r="L70" s="72" t="s">
        <v>536</v>
      </c>
      <c r="M70" s="72" t="s">
        <v>540</v>
      </c>
      <c r="N70" s="72" t="s">
        <v>541</v>
      </c>
      <c r="O70" s="72" t="s">
        <v>679</v>
      </c>
      <c r="P70" s="72" t="s">
        <v>680</v>
      </c>
      <c r="Q70" s="72"/>
      <c r="R70" s="72"/>
      <c r="S70" s="72"/>
      <c r="T70" s="72" t="s">
        <v>627</v>
      </c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</row>
    <row r="71" spans="1:47" ht="14" x14ac:dyDescent="0.25">
      <c r="A71" s="72"/>
      <c r="B71" s="72"/>
      <c r="C71" s="72"/>
      <c r="D71" s="72"/>
      <c r="E71" s="72" t="s">
        <v>95</v>
      </c>
      <c r="F71" s="72"/>
      <c r="G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</row>
    <row r="72" spans="1:47" ht="14" x14ac:dyDescent="0.25">
      <c r="A72" s="72"/>
      <c r="B72" s="72"/>
      <c r="C72" s="72"/>
      <c r="D72" s="72"/>
      <c r="E72" s="72"/>
      <c r="F72" s="72" t="s">
        <v>548</v>
      </c>
      <c r="G72" s="72" t="s">
        <v>678</v>
      </c>
      <c r="H72" s="72">
        <v>1102201</v>
      </c>
      <c r="I72" s="72" t="s">
        <v>586</v>
      </c>
      <c r="J72" s="72"/>
      <c r="K72" s="72"/>
      <c r="L72" s="72" t="s">
        <v>513</v>
      </c>
      <c r="M72" s="72" t="s">
        <v>550</v>
      </c>
      <c r="N72" s="72" t="s">
        <v>551</v>
      </c>
      <c r="O72" s="72" t="s">
        <v>679</v>
      </c>
      <c r="P72" s="72" t="s">
        <v>680</v>
      </c>
      <c r="Q72" s="72"/>
      <c r="R72" s="72"/>
      <c r="S72" s="72"/>
      <c r="T72" s="72" t="s">
        <v>627</v>
      </c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</row>
    <row r="73" spans="1:47" ht="14" x14ac:dyDescent="0.25">
      <c r="A73" s="72"/>
      <c r="B73" s="72"/>
      <c r="C73" s="72"/>
      <c r="D73" s="72"/>
      <c r="E73" s="72"/>
      <c r="F73" s="72" t="s">
        <v>552</v>
      </c>
      <c r="G73" s="72" t="s">
        <v>545</v>
      </c>
      <c r="H73" s="72">
        <v>1102202</v>
      </c>
      <c r="I73" s="72" t="s">
        <v>586</v>
      </c>
      <c r="J73" s="72"/>
      <c r="K73" s="72"/>
      <c r="L73" s="72" t="s">
        <v>513</v>
      </c>
      <c r="M73" s="72" t="s">
        <v>554</v>
      </c>
      <c r="N73" s="72" t="s">
        <v>555</v>
      </c>
      <c r="O73" s="72" t="s">
        <v>679</v>
      </c>
      <c r="P73" s="72" t="s">
        <v>680</v>
      </c>
      <c r="Q73" s="72"/>
      <c r="R73" s="72"/>
      <c r="S73" s="72"/>
      <c r="T73" s="72" t="s">
        <v>627</v>
      </c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</row>
    <row r="74" spans="1:47" ht="14" x14ac:dyDescent="0.25">
      <c r="A74" s="72"/>
      <c r="B74" s="72"/>
      <c r="C74" s="72"/>
      <c r="D74" s="72"/>
      <c r="E74" s="72"/>
      <c r="F74" s="72" t="s">
        <v>98</v>
      </c>
      <c r="G74" s="72" t="s">
        <v>556</v>
      </c>
      <c r="H74" s="72">
        <v>1102203</v>
      </c>
      <c r="I74" s="72" t="s">
        <v>586</v>
      </c>
      <c r="J74" s="72"/>
      <c r="K74" s="72"/>
      <c r="L74" s="72" t="s">
        <v>558</v>
      </c>
      <c r="M74" s="72" t="s">
        <v>559</v>
      </c>
      <c r="N74" s="72" t="s">
        <v>560</v>
      </c>
      <c r="O74" s="72" t="s">
        <v>679</v>
      </c>
      <c r="P74" s="72" t="s">
        <v>680</v>
      </c>
      <c r="Q74" s="72"/>
      <c r="R74" s="72"/>
      <c r="S74" s="72"/>
      <c r="T74" s="72" t="s">
        <v>627</v>
      </c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2"/>
    </row>
    <row r="75" spans="1:47" ht="14" x14ac:dyDescent="0.25">
      <c r="A75" s="72"/>
      <c r="B75" s="72"/>
      <c r="C75" s="72"/>
      <c r="D75" s="72"/>
      <c r="E75" s="72"/>
      <c r="F75" s="72" t="s">
        <v>100</v>
      </c>
      <c r="G75" s="72" t="s">
        <v>561</v>
      </c>
      <c r="H75" s="72">
        <v>1102204</v>
      </c>
      <c r="I75" s="72" t="s">
        <v>587</v>
      </c>
      <c r="J75" s="72"/>
      <c r="K75" s="72"/>
      <c r="L75" s="72" t="s">
        <v>513</v>
      </c>
      <c r="M75" s="72" t="s">
        <v>563</v>
      </c>
      <c r="N75" s="72" t="s">
        <v>564</v>
      </c>
      <c r="O75" s="72" t="s">
        <v>679</v>
      </c>
      <c r="P75" s="72" t="s">
        <v>680</v>
      </c>
      <c r="Q75" s="72"/>
      <c r="R75" s="72"/>
      <c r="S75" s="72"/>
      <c r="T75" s="72" t="s">
        <v>627</v>
      </c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</row>
  </sheetData>
  <autoFilter ref="A1:V75"/>
  <phoneticPr fontId="1" type="noConversion"/>
  <dataValidations count="3">
    <dataValidation type="list" allowBlank="1" showInputMessage="1" showErrorMessage="1" sqref="I62:I1048576 I1:I23 I25:I59">
      <formula1>$AH$1:$AN$1</formula1>
    </dataValidation>
    <dataValidation type="list" allowBlank="1" showInputMessage="1" showErrorMessage="1" sqref="T14:T23 T62:T70 T72:T75 T7:T10 T25:T48">
      <formula1>"是,否"</formula1>
    </dataValidation>
    <dataValidation type="list" allowBlank="1" showInputMessage="1" showErrorMessage="1" sqref="S1:S1048576">
      <formula1>$AP$1:$AU$1</formula1>
    </dataValidation>
  </dataValidations>
  <pageMargins left="0.7" right="0.7" top="0.75" bottom="0.75" header="0.3" footer="0.3"/>
  <pageSetup paperSize="9" orientation="portrait" horizontalDpi="1200" verticalDpi="1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F47"/>
  <sheetViews>
    <sheetView workbookViewId="0">
      <selection activeCell="C4" sqref="C4"/>
    </sheetView>
  </sheetViews>
  <sheetFormatPr defaultColWidth="9" defaultRowHeight="14" x14ac:dyDescent="0.25"/>
  <cols>
    <col min="1" max="1" width="16.6328125" style="61" customWidth="1"/>
    <col min="2" max="3" width="16.6328125" style="32" customWidth="1"/>
    <col min="4" max="5" width="16.6328125" style="61" customWidth="1"/>
    <col min="6" max="6" width="47.90625" style="61" customWidth="1"/>
    <col min="7" max="20" width="9" style="61" customWidth="1"/>
    <col min="21" max="16384" width="9" style="61"/>
  </cols>
  <sheetData>
    <row r="1" spans="1:5" x14ac:dyDescent="0.25">
      <c r="A1" s="23" t="s">
        <v>612</v>
      </c>
      <c r="B1" s="24"/>
      <c r="C1" s="24"/>
    </row>
    <row r="2" spans="1:5" x14ac:dyDescent="0.25">
      <c r="A2" s="25" t="s">
        <v>613</v>
      </c>
      <c r="B2" s="26" t="s">
        <v>614</v>
      </c>
      <c r="C2" s="26" t="s">
        <v>615</v>
      </c>
    </row>
    <row r="3" spans="1:5" x14ac:dyDescent="0.25">
      <c r="A3" s="17" t="s">
        <v>616</v>
      </c>
      <c r="B3" s="67" t="s">
        <v>617</v>
      </c>
      <c r="C3" s="27">
        <f>C$9+C$10</f>
        <v>7.9365079365079361E-2</v>
      </c>
    </row>
    <row r="4" spans="1:5" x14ac:dyDescent="0.25">
      <c r="A4" s="17" t="s">
        <v>618</v>
      </c>
      <c r="B4" s="67" t="s">
        <v>619</v>
      </c>
      <c r="C4" s="27">
        <f>C$11+C$12</f>
        <v>0.68253968253968256</v>
      </c>
    </row>
    <row r="5" spans="1:5" x14ac:dyDescent="0.25">
      <c r="A5" s="17" t="s">
        <v>620</v>
      </c>
      <c r="B5" s="67" t="s">
        <v>621</v>
      </c>
      <c r="C5" s="27">
        <f>C$9+C$10+C$11+C$12</f>
        <v>0.76190476190476186</v>
      </c>
    </row>
    <row r="6" spans="1:5" ht="13.5" customHeight="1" x14ac:dyDescent="0.25">
      <c r="A6" s="25" t="s">
        <v>622</v>
      </c>
      <c r="B6" s="28">
        <f>E9/SUM(E9:E10)</f>
        <v>0.88888888888888884</v>
      </c>
      <c r="C6" s="29"/>
    </row>
    <row r="7" spans="1:5" x14ac:dyDescent="0.25">
      <c r="A7" s="30" t="s">
        <v>623</v>
      </c>
      <c r="B7" s="30"/>
      <c r="C7" s="30"/>
      <c r="D7" s="30"/>
      <c r="E7" s="30"/>
    </row>
    <row r="8" spans="1:5" x14ac:dyDescent="0.25">
      <c r="A8" s="30" t="s">
        <v>613</v>
      </c>
      <c r="B8" s="30" t="s">
        <v>624</v>
      </c>
      <c r="C8" s="30" t="s">
        <v>625</v>
      </c>
      <c r="D8" s="30" t="s">
        <v>626</v>
      </c>
      <c r="E8" s="30" t="s">
        <v>624</v>
      </c>
    </row>
    <row r="9" spans="1:5" x14ac:dyDescent="0.25">
      <c r="A9" s="30" t="s">
        <v>584</v>
      </c>
      <c r="B9" s="30">
        <f>COUNTIF(用例全集!$I:$I,A9)</f>
        <v>4</v>
      </c>
      <c r="C9" s="31">
        <f t="shared" ref="C9:C15" si="0">B9/SUM(B$9:B$15)</f>
        <v>6.3492063492063489E-2</v>
      </c>
      <c r="D9" s="30" t="s">
        <v>627</v>
      </c>
      <c r="E9" s="30">
        <f>COUNTIF(用例全集!$T:$T,D9)</f>
        <v>56</v>
      </c>
    </row>
    <row r="10" spans="1:5" x14ac:dyDescent="0.25">
      <c r="A10" s="30" t="s">
        <v>585</v>
      </c>
      <c r="B10" s="30">
        <f>COUNTIF(用例全集!$I:$I,A10)</f>
        <v>1</v>
      </c>
      <c r="C10" s="31">
        <f t="shared" si="0"/>
        <v>1.5873015873015872E-2</v>
      </c>
      <c r="D10" s="30" t="s">
        <v>628</v>
      </c>
      <c r="E10" s="30">
        <f>COUNTIF(用例全集!$T:$T,D10)</f>
        <v>7</v>
      </c>
    </row>
    <row r="11" spans="1:5" x14ac:dyDescent="0.25">
      <c r="A11" s="30" t="s">
        <v>586</v>
      </c>
      <c r="B11" s="30">
        <f>COUNTIF(用例全集!$I:$I,A11)</f>
        <v>28</v>
      </c>
      <c r="C11" s="31">
        <f t="shared" si="0"/>
        <v>0.44444444444444442</v>
      </c>
      <c r="D11" s="30"/>
      <c r="E11" s="30"/>
    </row>
    <row r="12" spans="1:5" x14ac:dyDescent="0.25">
      <c r="A12" s="30" t="s">
        <v>587</v>
      </c>
      <c r="B12" s="30">
        <f>COUNTIF(用例全集!$I:$I,A12)</f>
        <v>15</v>
      </c>
      <c r="C12" s="31">
        <f t="shared" si="0"/>
        <v>0.23809523809523808</v>
      </c>
      <c r="D12" s="30"/>
      <c r="E12" s="30"/>
    </row>
    <row r="13" spans="1:5" x14ac:dyDescent="0.25">
      <c r="A13" s="30" t="s">
        <v>588</v>
      </c>
      <c r="B13" s="30">
        <f>COUNTIF(用例全集!$I:$I,A13)</f>
        <v>9</v>
      </c>
      <c r="C13" s="31">
        <f t="shared" si="0"/>
        <v>0.14285714285714285</v>
      </c>
      <c r="D13" s="30"/>
      <c r="E13" s="30"/>
    </row>
    <row r="14" spans="1:5" x14ac:dyDescent="0.25">
      <c r="A14" s="30" t="s">
        <v>589</v>
      </c>
      <c r="B14" s="30">
        <f>COUNTIF(用例全集!$I:$I,A14)</f>
        <v>4</v>
      </c>
      <c r="C14" s="31">
        <f t="shared" si="0"/>
        <v>6.3492063492063489E-2</v>
      </c>
      <c r="D14" s="30"/>
      <c r="E14" s="30"/>
    </row>
    <row r="15" spans="1:5" x14ac:dyDescent="0.25">
      <c r="A15" s="30" t="s">
        <v>590</v>
      </c>
      <c r="B15" s="30">
        <f>COUNTIF(用例全集!$I:$I,A15)</f>
        <v>2</v>
      </c>
      <c r="C15" s="31">
        <f t="shared" si="0"/>
        <v>3.1746031746031744E-2</v>
      </c>
      <c r="D15" s="30"/>
      <c r="E15" s="30"/>
    </row>
    <row r="16" spans="1:5" x14ac:dyDescent="0.25">
      <c r="A16" s="30" t="s">
        <v>629</v>
      </c>
      <c r="B16" s="30">
        <f>SUM(B9:B15)</f>
        <v>63</v>
      </c>
      <c r="C16" s="31"/>
      <c r="D16" s="30"/>
      <c r="E16" s="30"/>
    </row>
    <row r="17" spans="1:6" x14ac:dyDescent="0.25">
      <c r="B17" s="61"/>
      <c r="C17" s="61"/>
    </row>
    <row r="18" spans="1:6" x14ac:dyDescent="0.25">
      <c r="C18" s="24"/>
    </row>
    <row r="19" spans="1:6" x14ac:dyDescent="0.25">
      <c r="A19" s="23" t="s">
        <v>630</v>
      </c>
      <c r="C19" s="24"/>
    </row>
    <row r="20" spans="1:6" x14ac:dyDescent="0.25">
      <c r="A20" s="32" t="s">
        <v>631</v>
      </c>
      <c r="B20" s="24" t="s">
        <v>632</v>
      </c>
      <c r="C20" s="24"/>
    </row>
    <row r="21" spans="1:6" x14ac:dyDescent="0.25">
      <c r="C21" s="24"/>
    </row>
    <row r="22" spans="1:6" x14ac:dyDescent="0.25">
      <c r="A22" s="33" t="s">
        <v>633</v>
      </c>
    </row>
    <row r="23" spans="1:6" x14ac:dyDescent="0.25">
      <c r="A23" s="16" t="s">
        <v>634</v>
      </c>
      <c r="B23" s="145" t="s">
        <v>635</v>
      </c>
      <c r="C23" s="88"/>
      <c r="D23" s="88"/>
      <c r="E23" s="88"/>
      <c r="F23" s="89"/>
    </row>
    <row r="24" spans="1:6" x14ac:dyDescent="0.25">
      <c r="A24" s="146" t="s">
        <v>613</v>
      </c>
      <c r="B24" s="149" t="s">
        <v>636</v>
      </c>
      <c r="C24" s="88"/>
      <c r="D24" s="88"/>
      <c r="E24" s="88"/>
      <c r="F24" s="89"/>
    </row>
    <row r="25" spans="1:6" x14ac:dyDescent="0.25">
      <c r="A25" s="94"/>
      <c r="B25" s="67" t="s">
        <v>613</v>
      </c>
      <c r="C25" s="67" t="s">
        <v>637</v>
      </c>
      <c r="D25" s="147" t="s">
        <v>583</v>
      </c>
      <c r="E25" s="89"/>
      <c r="F25" s="15" t="s">
        <v>638</v>
      </c>
    </row>
    <row r="26" spans="1:6" x14ac:dyDescent="0.25">
      <c r="A26" s="94"/>
      <c r="B26" s="67" t="s">
        <v>584</v>
      </c>
      <c r="C26" s="67" t="s">
        <v>591</v>
      </c>
      <c r="D26" s="147" t="s">
        <v>639</v>
      </c>
      <c r="E26" s="89"/>
      <c r="F26" s="148" t="s">
        <v>640</v>
      </c>
    </row>
    <row r="27" spans="1:6" x14ac:dyDescent="0.25">
      <c r="A27" s="94"/>
      <c r="B27" s="67" t="s">
        <v>585</v>
      </c>
      <c r="C27" s="67" t="s">
        <v>641</v>
      </c>
      <c r="D27" s="147" t="s">
        <v>642</v>
      </c>
      <c r="E27" s="89"/>
      <c r="F27" s="94"/>
    </row>
    <row r="28" spans="1:6" x14ac:dyDescent="0.25">
      <c r="A28" s="94"/>
      <c r="B28" s="67" t="s">
        <v>586</v>
      </c>
      <c r="C28" s="67" t="s">
        <v>643</v>
      </c>
      <c r="D28" s="147" t="s">
        <v>644</v>
      </c>
      <c r="E28" s="89"/>
      <c r="F28" s="94"/>
    </row>
    <row r="29" spans="1:6" x14ac:dyDescent="0.25">
      <c r="A29" s="94"/>
      <c r="B29" s="67" t="s">
        <v>587</v>
      </c>
      <c r="C29" s="67" t="s">
        <v>645</v>
      </c>
      <c r="D29" s="147" t="s">
        <v>646</v>
      </c>
      <c r="E29" s="89"/>
      <c r="F29" s="94"/>
    </row>
    <row r="30" spans="1:6" x14ac:dyDescent="0.25">
      <c r="A30" s="94"/>
      <c r="B30" s="67" t="s">
        <v>588</v>
      </c>
      <c r="C30" s="67" t="s">
        <v>647</v>
      </c>
      <c r="D30" s="147" t="s">
        <v>648</v>
      </c>
      <c r="E30" s="89"/>
      <c r="F30" s="94"/>
    </row>
    <row r="31" spans="1:6" x14ac:dyDescent="0.25">
      <c r="A31" s="94"/>
      <c r="B31" s="67" t="s">
        <v>589</v>
      </c>
      <c r="C31" s="67" t="s">
        <v>649</v>
      </c>
      <c r="D31" s="147" t="s">
        <v>650</v>
      </c>
      <c r="E31" s="89"/>
      <c r="F31" s="94"/>
    </row>
    <row r="32" spans="1:6" x14ac:dyDescent="0.25">
      <c r="A32" s="128"/>
      <c r="B32" s="67" t="s">
        <v>590</v>
      </c>
      <c r="C32" s="67" t="s">
        <v>651</v>
      </c>
      <c r="D32" s="147" t="s">
        <v>652</v>
      </c>
      <c r="E32" s="89"/>
      <c r="F32" s="128"/>
    </row>
    <row r="33" spans="1:6" x14ac:dyDescent="0.25">
      <c r="A33" s="69" t="s">
        <v>653</v>
      </c>
      <c r="B33" s="145" t="s">
        <v>654</v>
      </c>
      <c r="C33" s="88"/>
      <c r="D33" s="88"/>
      <c r="E33" s="88"/>
      <c r="F33" s="89"/>
    </row>
    <row r="34" spans="1:6" x14ac:dyDescent="0.25">
      <c r="A34" s="69" t="s">
        <v>573</v>
      </c>
      <c r="B34" s="145" t="s">
        <v>655</v>
      </c>
      <c r="C34" s="88"/>
      <c r="D34" s="88"/>
      <c r="E34" s="88"/>
      <c r="F34" s="89"/>
    </row>
    <row r="35" spans="1:6" x14ac:dyDescent="0.25">
      <c r="A35" s="69" t="s">
        <v>139</v>
      </c>
      <c r="B35" s="145" t="s">
        <v>655</v>
      </c>
      <c r="C35" s="88"/>
      <c r="D35" s="88"/>
      <c r="E35" s="88"/>
      <c r="F35" s="89"/>
    </row>
    <row r="36" spans="1:6" x14ac:dyDescent="0.25">
      <c r="A36" s="69" t="s">
        <v>140</v>
      </c>
      <c r="B36" s="145" t="s">
        <v>656</v>
      </c>
      <c r="C36" s="88"/>
      <c r="D36" s="88"/>
      <c r="E36" s="88"/>
      <c r="F36" s="89"/>
    </row>
    <row r="37" spans="1:6" x14ac:dyDescent="0.25">
      <c r="A37" s="69" t="s">
        <v>141</v>
      </c>
      <c r="B37" s="145" t="s">
        <v>657</v>
      </c>
      <c r="C37" s="88"/>
      <c r="D37" s="88"/>
      <c r="E37" s="88"/>
      <c r="F37" s="89"/>
    </row>
    <row r="38" spans="1:6" x14ac:dyDescent="0.25">
      <c r="A38" s="69" t="s">
        <v>658</v>
      </c>
      <c r="B38" s="145" t="s">
        <v>659</v>
      </c>
      <c r="C38" s="88"/>
      <c r="D38" s="88"/>
      <c r="E38" s="88"/>
      <c r="F38" s="89"/>
    </row>
    <row r="39" spans="1:6" x14ac:dyDescent="0.25">
      <c r="A39" s="69" t="s">
        <v>577</v>
      </c>
      <c r="B39" s="145" t="s">
        <v>660</v>
      </c>
      <c r="C39" s="88"/>
      <c r="D39" s="88"/>
      <c r="E39" s="88"/>
      <c r="F39" s="89"/>
    </row>
    <row r="40" spans="1:6" x14ac:dyDescent="0.25">
      <c r="A40" s="69" t="s">
        <v>578</v>
      </c>
      <c r="B40" s="145" t="s">
        <v>661</v>
      </c>
      <c r="C40" s="88"/>
      <c r="D40" s="88"/>
      <c r="E40" s="88"/>
      <c r="F40" s="89"/>
    </row>
    <row r="41" spans="1:6" x14ac:dyDescent="0.25">
      <c r="A41" s="69" t="s">
        <v>579</v>
      </c>
      <c r="B41" s="145" t="s">
        <v>662</v>
      </c>
      <c r="C41" s="88"/>
      <c r="D41" s="88"/>
      <c r="E41" s="88"/>
      <c r="F41" s="89"/>
    </row>
    <row r="42" spans="1:6" x14ac:dyDescent="0.25">
      <c r="A42" s="69" t="s">
        <v>580</v>
      </c>
      <c r="B42" s="145" t="s">
        <v>663</v>
      </c>
      <c r="C42" s="88"/>
      <c r="D42" s="88"/>
      <c r="E42" s="88"/>
      <c r="F42" s="89"/>
    </row>
    <row r="43" spans="1:6" x14ac:dyDescent="0.25">
      <c r="A43" s="69" t="s">
        <v>581</v>
      </c>
      <c r="B43" s="145" t="s">
        <v>664</v>
      </c>
      <c r="C43" s="88"/>
      <c r="D43" s="88"/>
      <c r="E43" s="88"/>
      <c r="F43" s="89"/>
    </row>
    <row r="44" spans="1:6" x14ac:dyDescent="0.25">
      <c r="A44" s="69" t="s">
        <v>582</v>
      </c>
      <c r="B44" s="145" t="s">
        <v>665</v>
      </c>
      <c r="C44" s="88"/>
      <c r="D44" s="88"/>
      <c r="E44" s="88"/>
      <c r="F44" s="89"/>
    </row>
    <row r="45" spans="1:6" ht="183.65" customHeight="1" x14ac:dyDescent="0.25">
      <c r="A45" s="69" t="s">
        <v>583</v>
      </c>
      <c r="B45" s="144" t="s">
        <v>666</v>
      </c>
      <c r="C45" s="88"/>
      <c r="D45" s="88"/>
      <c r="E45" s="88"/>
      <c r="F45" s="89"/>
    </row>
    <row r="47" spans="1:6" x14ac:dyDescent="0.25">
      <c r="B47" s="35"/>
    </row>
  </sheetData>
  <mergeCells count="25">
    <mergeCell ref="B33:F33"/>
    <mergeCell ref="B34:F34"/>
    <mergeCell ref="B23:F23"/>
    <mergeCell ref="B24:F24"/>
    <mergeCell ref="D25:E25"/>
    <mergeCell ref="A24:A32"/>
    <mergeCell ref="D26:E26"/>
    <mergeCell ref="F26:F32"/>
    <mergeCell ref="D27:E27"/>
    <mergeCell ref="D28:E28"/>
    <mergeCell ref="D29:E29"/>
    <mergeCell ref="D30:E30"/>
    <mergeCell ref="D31:E31"/>
    <mergeCell ref="D32:E32"/>
    <mergeCell ref="B35:F35"/>
    <mergeCell ref="B36:F36"/>
    <mergeCell ref="B37:F37"/>
    <mergeCell ref="B38:F38"/>
    <mergeCell ref="B39:F39"/>
    <mergeCell ref="B45:F45"/>
    <mergeCell ref="B40:F40"/>
    <mergeCell ref="B41:F41"/>
    <mergeCell ref="B42:F42"/>
    <mergeCell ref="B43:F43"/>
    <mergeCell ref="B44:F44"/>
  </mergeCells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首页</vt:lpstr>
      <vt:lpstr>测试点分析</vt:lpstr>
      <vt:lpstr>测试组网设计</vt:lpstr>
      <vt:lpstr>MAC转发</vt:lpstr>
      <vt:lpstr>VLAN隔离</vt:lpstr>
      <vt:lpstr>动态MAC</vt:lpstr>
      <vt:lpstr>端口迁移</vt:lpstr>
      <vt:lpstr>用例全集</vt:lpstr>
      <vt:lpstr>附录1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赵海波</cp:lastModifiedBy>
  <dcterms:created xsi:type="dcterms:W3CDTF">2006-09-13T11:21:51Z</dcterms:created>
  <dcterms:modified xsi:type="dcterms:W3CDTF">2022-01-12T01:46:18Z</dcterms:modified>
</cp:coreProperties>
</file>